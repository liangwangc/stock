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350" windowHeight="6880" tabRatio="738"/>
  </bookViews>
  <sheets>
    <sheet name="医疗机构" sheetId="5" r:id="rId1"/>
    <sheet name="机构确认表" sheetId="6" r:id="rId2"/>
  </sheets>
  <externalReferences>
    <externalReference r:id="rId3"/>
  </externalReferences>
  <definedNames>
    <definedName name="_xlnm._FilterDatabase" localSheetId="0" hidden="1">医疗机构!$A$2:$X$17</definedName>
    <definedName name="欺诈骗保问题">[1]问题类别配置!$C$2:$C$7</definedName>
    <definedName name="_xlnm.Print_Titles" localSheetId="1">机构确认表!$3:$3</definedName>
    <definedName name="_xlnm._FilterDatabase" localSheetId="1" hidden="1">机构确认表!$G$4:$G$19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<sst xmlns="http://schemas.openxmlformats.org/spreadsheetml/2006/main" count="393" uniqueCount="112">
  <si>
    <t>飞行检查定点医疗机构问题表</t>
  </si>
  <si>
    <t>序号</t>
  </si>
  <si>
    <t>省（直辖市、自治区）</t>
  </si>
  <si>
    <t>地市</t>
  </si>
  <si>
    <t>被检机构名称</t>
  </si>
  <si>
    <t>医药机构经济类型</t>
  </si>
  <si>
    <t>医药机构级别</t>
  </si>
  <si>
    <t>问题类别
(一级指标)</t>
  </si>
  <si>
    <t>问题类别
(二级指标)</t>
  </si>
  <si>
    <t>科室</t>
  </si>
  <si>
    <t>问题项目</t>
  </si>
  <si>
    <t>问题情形描述
（定性描述）</t>
  </si>
  <si>
    <t>违规典型案例
（举例说明，至少2个）</t>
  </si>
  <si>
    <t>问题数量</t>
  </si>
  <si>
    <t>违规医药费用总额（元）</t>
  </si>
  <si>
    <t>违规使用医保基金(元)</t>
  </si>
  <si>
    <t>认定依据</t>
  </si>
  <si>
    <t>是否属于自查自纠清单内问题</t>
  </si>
  <si>
    <t>处理建议—医保部门</t>
  </si>
  <si>
    <t>处理建议—移交公安</t>
  </si>
  <si>
    <t>处理建议—移交卫健</t>
  </si>
  <si>
    <t>处理建议—移交市场</t>
  </si>
  <si>
    <t>处理建议—移交药监</t>
  </si>
  <si>
    <t>处理建议—移交纪检</t>
  </si>
  <si>
    <t>备注</t>
  </si>
  <si>
    <t>广东省</t>
  </si>
  <si>
    <t>深圳市</t>
  </si>
  <si>
    <t>深圳市龙华区人民医院</t>
  </si>
  <si>
    <t>政府办</t>
  </si>
  <si>
    <t>三级</t>
  </si>
  <si>
    <t>一般违规问题</t>
  </si>
  <si>
    <t>超标准收费</t>
  </si>
  <si>
    <t>全科</t>
  </si>
  <si>
    <t>气管插管下全身麻醉（编码：330100005—1E）</t>
  </si>
  <si>
    <t>2023年1月—2025年10月31日在该院就医的湖北省患者，气管插管下全身麻醉超过2小时时间未按要求加收费用，超过部分超标准另计费1次。</t>
  </si>
  <si>
    <t>湖北省孝感市患者王*青，住院号：649149；湖北省荆门市患者彭*，住院号：643283。患者同天进行多次降钙素原检测测定。</t>
  </si>
  <si>
    <t>依据《深圳市医疗服务项目目录》规定气管插管下全身麻醉“按2小时计费 超过2小时，每增加1小时另计。”</t>
  </si>
  <si>
    <t>否</t>
  </si>
  <si>
    <t>违反诊疗规范过度诊疗</t>
  </si>
  <si>
    <t>泌尿、肿瘤、儿科、手足口</t>
  </si>
  <si>
    <t>血氧饱和度监测（编码：310701028）</t>
  </si>
  <si>
    <t>2023年1月—2025年10月31日在该院就医的湖北省患者，在患者病情稳定护理费降为Ⅱ级护理时过度行血氧饱和度监测。</t>
  </si>
  <si>
    <t>湖北省武汉市患者廖*凯，住院号：642716；湖北省孝感市患者杨术峰，住院号：762404。在患者病情稳定护理费降为Ⅱ级护理时过度行血氧饱和度监测。</t>
  </si>
  <si>
    <t>依据《深圳市医疗服务项目目录》规定Ⅱ级护理指病情趋于稳定或未明确诊断前，仍需观察，且自理能力轻度依赖的患者；病情稳定，仍需卧床，且自理能力轻度依赖的患者；病情稳定或处于康复期，且自理能力中度依赖的患者提供的相关护理。</t>
  </si>
  <si>
    <t>移交</t>
  </si>
  <si>
    <t>胃肠外科、泌尿外科呼吸内科、肾内科神经外科</t>
  </si>
  <si>
    <t>无机磷测定（编码：250304005）</t>
  </si>
  <si>
    <t>2023年1月—2025年10月31日在该院就医的湖北省患者，排除科室（外科）、排除60岁以上、排除诊断关键字(肾、甲状旁腺、佝偻病、维生素D、慢性腹泻、醛固酮、肠、肿瘤、肝、肉瘤、癌)明细数据，其他情况属于无指征打包开展无机磷测定并收费。</t>
  </si>
  <si>
    <t>湖北省武汉市患者任*军，住院号：645306；湖北省黄冈市患者梗*，住院号：528380。无指征打包开展无机磷测定并收费。</t>
  </si>
  <si>
    <t>依据《全国临床检验操作规程》诊疗常规。 无机磷测定适用肾病、甲状旁腺疾病、佝偻病、维生素D缺乏、慢性腹泻、代谢性疾病、肠道疾病、肝病、肿瘤相关诊断。</t>
  </si>
  <si>
    <t>胃肠外科、泌尿外科呼吸内科、肾内科、神经外科</t>
  </si>
  <si>
    <t>镁测定（编码：250304006）</t>
  </si>
  <si>
    <t>2023年1月—2025年10月31日在该院就医的湖北省患者，排除科室（外科）、排除60岁以上、排除诊断关键字(肾、甲状旁腺、佝偻病、维生素D、慢性腹泻、醛固酮、肠、肿瘤、肝、肉瘤、癌)明细数据，其他情况属于无指征打包开展镁测定并收费。</t>
  </si>
  <si>
    <t>湖北省荆州市患者王*柏，住院号：644462；湖北省黄冈市患者梗*，住院号：528380。无指征打包开展镁测定并收费。</t>
  </si>
  <si>
    <t>依据《全国临床检验操作规程》诊疗常规。 镁测定适用肾病、甲状旁腺疾病、佝偻病、维生素D缺乏、慢性腹泻、代谢性疾病、肠道疾病、肝病、肿瘤相关诊断。</t>
  </si>
  <si>
    <t>乙型肝炎DNA测定（编码：250403003）</t>
  </si>
  <si>
    <t>2023年1月—2025年10月31日在该院就医的湖北省患者，无乙型肝炎表面抗原(HBSAg)阳性等指标行乙型肝炎DNA测定。</t>
  </si>
  <si>
    <t>湖北省孝感市患者万*生，住院号：645967；湖北省宜昌市患者彭*和，住院号：735783。无乙型肝炎表面抗原(HBSAg)阳性等指标行乙型肝炎DNA测定。</t>
  </si>
  <si>
    <t>依据《全国医疗服务项目技术规范 (2023 年版)》，乙型肝炎 DNA 测定的核心用途是对乙肝病毒感染者进行病毒载量监测、治疗效果评估等。该检测需以乙肝基础检查指标异常为前提，比如乙型肝炎表面抗原(HBSAg)阳性等。</t>
  </si>
  <si>
    <t>康复科、泌尿外科</t>
  </si>
  <si>
    <t>中药贴敷（编码：014100000010000）</t>
  </si>
  <si>
    <t>现场检查发现，该院康复科、泌尿外科使用中药封包综合治疗仪行贴敷治疗，使用复核磁疗包进行贴敷治疗，复核磁疗包不发挥药理作用，治疗过程中无其他药物调配。</t>
  </si>
  <si>
    <t>依据仪器说明书“复合磁疗包由温控芯片、磁钮、复合磁粉(磁粉、灸材)、无纺布组成。灸材由植物草木粉组成，不发挥药理作用”。《深圳市医疗服务项目目录》“服务产出：由医务人员使用贴敷制品敷贴于体表特定部位或穴位，通过药物或物理作用，以发挥促进气血调和、阴阳平衡等各类作用”</t>
  </si>
  <si>
    <t>血清载脂蛋白AⅠ测定（编码：250303007）</t>
  </si>
  <si>
    <t>2023年1月—2025年10月31日在该院就医的湖北省患者，对无相关疾病指征的患者开展检验血清总胆固醇测定和血清载脂蛋白AⅠ测定。</t>
  </si>
  <si>
    <t>湖北省孝感市患者文*林，住院号：679369；湖北省孝感市患者张*建，住院号：745168。对无相关疾病指征的患者开展检验血清总胆固醇测定和血清载脂蛋白AⅠ测定。</t>
  </si>
  <si>
    <t>依据《全国临床检验操作规程》诊疗常规。血清载脂蛋白AI可反应体内脂蛋白的情况，对心脑血管疾病、肝胆胰疾病、肾脏疾病、高脂血症、糖尿病、代谢综合征、甲状腺功能疾病、恶性肿瘤等相关疾病具有辅助诊断意义。</t>
  </si>
  <si>
    <t>糖化血红蛋白测定—色谱法（编码：250302003—1）</t>
  </si>
  <si>
    <t>2023年1月—2025年10月31日在该院就医的湖北省患者，对同一患者同时测定多次糖化血红蛋白测定。</t>
  </si>
  <si>
    <t>湖北省随州市患者游*平，住院号：692050；湖北省宜昌市患者程*超，住院号：738828。同时测定多次糖化血红蛋白测定。</t>
  </si>
  <si>
    <t>依据《全国临床检验操作规程》诊疗常规。同一患者同时测定多次糖化血红蛋白测定，属于过度检查。</t>
  </si>
  <si>
    <t>重症医学科、神经外科</t>
  </si>
  <si>
    <t>彩色多普勒超声常规检查（编码：220301001）</t>
  </si>
  <si>
    <t>湖北省襄阳市患者李*根、湖北省襄阳市患者杨*，开具与疾病无关的超声检查（泌尿系彩超检查、肠道彩超检查、胸部彩超检查、腹部(肝胆胰脾)彩超检查等）。</t>
  </si>
  <si>
    <t>1.湖北省襄阳市患者李*根，住院时间2024年11月1日—2024年11月8日，主要诊断：大脑前动脉A1段动脉瘤破裂，医嘱无依据开具彩色多普勒超声常规检查（泌尿系彩超检查、肠道彩超检查、胸部彩超检查、腹部(肝胆胰脾)彩超检查）（120元/次）。2.湖北省襄阳市患者杨*，住院时间2025年8月22日—2025年8月22日，主要诊断：脑干脑动静脉畸形出血，医嘱无依据开具彩色多普勒超声常规检查（泌尿系彩超检查、腹部(肝胆胰脾)彩超检查）（125元/次）。</t>
  </si>
  <si>
    <t>依据《医疗机构管理条例》:规定医疗机构及其医务人员应当按照诊疗规范和技术操作规程，为患者提供安全、有效、适宜的医疗服务，包括合理开具检查项目。</t>
  </si>
  <si>
    <t>呼吸内科、风湿免疫科、胸心血管外科、血液内科、肾内科</t>
  </si>
  <si>
    <t>超敏C反应蛋白检测（编码：250301017）</t>
  </si>
  <si>
    <t>2023年1月—2025年10月31日在该院就医的湖北省患者，同患者同天开具降钙素原测定同时开具超敏C反应蛋白检测。</t>
  </si>
  <si>
    <t>湖北省随州市患者谭*宏，住院号：665377；湖北省黄石市患者曾*婷，住院号：745168。清单收取降钙素原测定同时和超敏C反应蛋白检测费用。</t>
  </si>
  <si>
    <t>依据《全国医疗服务价格项目规范》规定医疗服务价格项目为终极项目，各地不得以任何形式分解收费，禁止以新设备、新试剂、新方法等名义新增医疗服务价格项目。</t>
  </si>
  <si>
    <t>梅毒螺旋体特异抗体测定—凝集、印迹法（编码：250403053—1）</t>
  </si>
  <si>
    <t>2023年1月—2025年10月31日在该院就医的湖北省患者，1次住院期间进行多次梅毒螺旋体特异抗体测定。</t>
  </si>
  <si>
    <t>湖北省随州市患者冯*霞，住院号：305957；湖北省黄石市患者刘*菊，住院号：648444。住院期间进行多次梅毒螺旋体特异抗体测定。</t>
  </si>
  <si>
    <t>依据《全国临床检验操作规程》诊疗常规。非梅毒患者，一次住院周期内多次无指征开展梅毒抗体测定检查，属于过度检查。</t>
  </si>
  <si>
    <t>降钙素原检测—化学发光法（编码：250310054—4）</t>
  </si>
  <si>
    <t>2023年1月—2025年10月31日在该院就医的湖北省患者，同患者同天进行多次降钙素原检测测定。</t>
  </si>
  <si>
    <t>依据《全国临床检验操作规程》诊疗常规。同患者同天多次无指征开展降钙素原检测，属于过度检查。</t>
  </si>
  <si>
    <t>乙型肝炎表面抗原测定(HBsAg)—化学发光法（编码：250403004—3）</t>
  </si>
  <si>
    <t>2023年1月—2025年10月31日在该院就医的湖北省患者，对同一患者同时测定多次乙型肝炎表面抗原测定(HBsAg)。</t>
  </si>
  <si>
    <t>湖北省襄阳市患者饶*，住院号：706633；湖北省宜昌市患者吴*桂，住院号：751657。同时测定多次乙型肝炎表面抗原测定(HBsAg)。</t>
  </si>
  <si>
    <t>依据《全国临床检验操作规程》诊疗常规。同一患者同时测定多次乙型肝炎表面抗原测定(HBsAg)，属于过度检查。</t>
  </si>
  <si>
    <t>丙型肝炎抗体测定(Anti—HCV)—定性（编码：250403014）</t>
  </si>
  <si>
    <t>2023年1月—2025年10月31日在该院就医的湖北省患者，对同一患者同时测定多次人丙型肝炎抗体测定(Anti—HCV)。</t>
  </si>
  <si>
    <t>湖北省武汉市患者赵*清，住院号：648055；湖北省孝感市患者吴锦平，住院号：680759。同时测定多次人免疫缺陷病毒抗体测定(Anti—HIV)。</t>
  </si>
  <si>
    <t>依据《全国临床检验操作规程》诊疗常规。同一患者同时测定多次人丙型肝炎抗体测定(Anti—HCV)，属于过度检查。</t>
  </si>
  <si>
    <t>人免疫缺陷病毒抗体测定(Anti—HIV)—各种免疫学方法（编码：250403019—1）</t>
  </si>
  <si>
    <t>2023年1月—2025年10月31日在该院就医的湖北省患者，对同一患者同时测定多次人免疫缺陷病毒抗体测定(Anti—HIV)。</t>
  </si>
  <si>
    <t>湖北省天门市患者何防修，住院号：674328；湖北省孝感市患者吴培胜，住院号：648885。同时测定多次人免疫缺陷病毒抗体测定(Anti—HIV)。</t>
  </si>
  <si>
    <t>依据《全国临床检验操作规程》诊疗常规。同一患者同时测定多次人免疫缺陷病毒抗体测定(Anti—HIV)，属于过度检查。</t>
  </si>
  <si>
    <t>内部管理问题</t>
  </si>
  <si>
    <t>其他</t>
  </si>
  <si>
    <t>低频脉冲电治疗（编码：340100009）</t>
  </si>
  <si>
    <t>该院康复科有3台低频脉冲电治疗，其中2台设备已于2025年4月过期，该院仍使用过期设备为患者治疗。</t>
  </si>
  <si>
    <t>依据《医疗器械监督管理条例》第五十五条 医疗器械经营企业、使用单位不得经营、使用未依法注册或者备案、无合格证明文件以及过期、失效、淘汰的医疗器械。</t>
  </si>
  <si>
    <t>飞行检查定点医疗机构问题确认表</t>
  </si>
  <si>
    <t>被检机构名称：深圳市龙华区人民医院                    统一社会信用代码：124403004557696415                    检查时间：2025年12月8日—2025年12月9日</t>
  </si>
  <si>
    <t>依据《全国临床检验操作规程》诊疗常规。血清载脂蛋白AI可反应体内脂蛋白的情况，对心脑血管疾病、肝胆胰疾病、肾脏疾病、高脂血症、糖尿病、代谢综合症、甲状腺功能疾病、恶性肿瘤等相关疾病具有辅助诊断意义。</t>
  </si>
  <si>
    <t>依据《深圳市医疗服务项目目录》规定气管插管下全身麻醉“按2小时记费 超过2小时，每增加1小时另计。”</t>
  </si>
  <si>
    <t>合计：</t>
  </si>
  <si>
    <t>该院提供报销比例：90%</t>
  </si>
  <si>
    <t xml:space="preserve">被检机构负责人签字：                                                                                                         时间：                         </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</si>
</sst>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_ "/>
    <numFmt numFmtId="177" formatCode="0_ "/>
  </numFmts>
  <fonts count="29">
    <font>
      <sz val="11"/>
      <color theme="1"/>
      <name val="等线"/>
      <charset val="134"/>
      <scheme val="minor"/>
    </font>
    <font>
      <sz val="11"/>
      <name val="方正小标宋简体"/>
      <charset val="134"/>
    </font>
    <font>
      <sz val="11"/>
      <name val="黑体"/>
      <charset val="134"/>
    </font>
    <font>
      <sz val="11"/>
      <name val="仿宋_GB2312"/>
      <charset val="134"/>
    </font>
    <font>
      <sz val="11"/>
      <name val="等线"/>
      <charset val="134"/>
      <scheme val="minor"/>
    </font>
    <font>
      <sz val="14"/>
      <name val="方正小标宋简体"/>
      <charset val="134"/>
    </font>
    <font>
      <sz val="11"/>
      <color theme="1"/>
      <name val="方正小标宋简体"/>
      <charset val="134"/>
    </font>
    <font>
      <sz val="11"/>
      <color theme="1"/>
      <name val="黑体"/>
      <charset val="134"/>
    </font>
    <font>
      <sz val="11"/>
      <color theme="1"/>
      <name val="仿宋_GB2312"/>
      <charset val="134"/>
    </font>
    <font>
      <sz val="14"/>
      <color theme="1"/>
      <name val="方正小标宋简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2" borderId="3"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4" applyNumberFormat="0" applyFill="0" applyAlignment="0" applyProtection="0">
      <alignment vertical="center"/>
    </xf>
    <xf numFmtId="0" fontId="16" fillId="0" borderId="4" applyNumberFormat="0" applyFill="0" applyAlignment="0" applyProtection="0">
      <alignment vertical="center"/>
    </xf>
    <xf numFmtId="0" fontId="17" fillId="0" borderId="5" applyNumberFormat="0" applyFill="0" applyAlignment="0" applyProtection="0">
      <alignment vertical="center"/>
    </xf>
    <xf numFmtId="0" fontId="17" fillId="0" borderId="0" applyNumberFormat="0" applyFill="0" applyBorder="0" applyAlignment="0" applyProtection="0">
      <alignment vertical="center"/>
    </xf>
    <xf numFmtId="0" fontId="18" fillId="3" borderId="6" applyNumberFormat="0" applyAlignment="0" applyProtection="0">
      <alignment vertical="center"/>
    </xf>
    <xf numFmtId="0" fontId="19" fillId="4" borderId="7" applyNumberFormat="0" applyAlignment="0" applyProtection="0">
      <alignment vertical="center"/>
    </xf>
    <xf numFmtId="0" fontId="20" fillId="4" borderId="6" applyNumberFormat="0" applyAlignment="0" applyProtection="0">
      <alignment vertical="center"/>
    </xf>
    <xf numFmtId="0" fontId="21" fillId="5" borderId="8" applyNumberFormat="0" applyAlignment="0" applyProtection="0">
      <alignment vertical="center"/>
    </xf>
    <xf numFmtId="0" fontId="22" fillId="0" borderId="9" applyNumberFormat="0" applyFill="0" applyAlignment="0" applyProtection="0">
      <alignment vertical="center"/>
    </xf>
    <xf numFmtId="0" fontId="23" fillId="0" borderId="10" applyNumberFormat="0" applyFill="0" applyAlignment="0" applyProtection="0">
      <alignment vertical="center"/>
    </xf>
    <xf numFmtId="0" fontId="24" fillId="6" borderId="0" applyNumberFormat="0" applyBorder="0" applyAlignment="0" applyProtection="0">
      <alignment vertical="center"/>
    </xf>
    <xf numFmtId="0" fontId="25" fillId="7" borderId="0" applyNumberFormat="0" applyBorder="0" applyAlignment="0" applyProtection="0">
      <alignment vertical="center"/>
    </xf>
    <xf numFmtId="0" fontId="26" fillId="8" borderId="0" applyNumberFormat="0" applyBorder="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8" fillId="11" borderId="0" applyNumberFormat="0" applyBorder="0" applyAlignment="0" applyProtection="0">
      <alignment vertical="center"/>
    </xf>
    <xf numFmtId="0" fontId="27"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7" fillId="32" borderId="0" applyNumberFormat="0" applyBorder="0" applyAlignment="0" applyProtection="0">
      <alignment vertical="center"/>
    </xf>
  </cellStyleXfs>
  <cellXfs count="57">
    <xf numFmtId="0" fontId="0" fillId="0" borderId="0" xfId="0"/>
    <xf numFmtId="0" fontId="1" fillId="0" borderId="0" xfId="0" applyFont="1" applyAlignment="1">
      <alignment vertical="center"/>
    </xf>
    <xf numFmtId="0" fontId="1" fillId="0" borderId="0" xfId="0" applyFont="1" applyFill="1" applyAlignment="1">
      <alignment vertical="center"/>
    </xf>
    <xf numFmtId="0" fontId="2" fillId="0" borderId="0" xfId="0" applyFont="1" applyAlignment="1">
      <alignment horizontal="center" vertical="center"/>
    </xf>
    <xf numFmtId="0" fontId="3" fillId="0" borderId="0" xfId="0" applyFont="1" applyAlignment="1">
      <alignment vertical="center"/>
    </xf>
    <xf numFmtId="0" fontId="4" fillId="0" borderId="0" xfId="0" applyFont="1" applyFill="1"/>
    <xf numFmtId="0" fontId="4" fillId="0" borderId="0" xfId="0" applyFont="1"/>
    <xf numFmtId="0" fontId="4" fillId="0" borderId="0" xfId="0" applyFont="1" applyAlignment="1">
      <alignment wrapText="1"/>
    </xf>
    <xf numFmtId="0" fontId="4" fillId="0" borderId="0" xfId="0" applyFont="1" applyAlignment="1">
      <alignment horizontal="center"/>
    </xf>
    <xf numFmtId="176" fontId="4" fillId="0" borderId="0" xfId="0" applyNumberFormat="1" applyFont="1" applyAlignment="1">
      <alignment horizontal="center"/>
    </xf>
    <xf numFmtId="0" fontId="4" fillId="0" borderId="0" xfId="0" applyFont="1" applyAlignment="1">
      <alignment horizontal="center" wrapText="1"/>
    </xf>
    <xf numFmtId="0" fontId="5" fillId="0" borderId="0" xfId="0" applyFont="1" applyAlignment="1">
      <alignment horizontal="center" vertical="center"/>
    </xf>
    <xf numFmtId="0" fontId="5" fillId="0" borderId="0" xfId="0" applyFont="1" applyAlignment="1">
      <alignment horizontal="center" vertical="center" wrapText="1"/>
    </xf>
    <xf numFmtId="0" fontId="1" fillId="0" borderId="0" xfId="0" applyFont="1" applyFill="1" applyAlignment="1">
      <alignment horizontal="left" vertical="center"/>
    </xf>
    <xf numFmtId="0" fontId="5" fillId="0" borderId="0" xfId="0" applyFont="1" applyFill="1" applyAlignment="1">
      <alignment horizontal="left" vertical="center"/>
    </xf>
    <xf numFmtId="49" fontId="2" fillId="0" borderId="1" xfId="0" applyNumberFormat="1" applyFont="1" applyBorder="1" applyAlignment="1">
      <alignment horizontal="center" vertical="center" wrapText="1"/>
    </xf>
    <xf numFmtId="49" fontId="2" fillId="0" borderId="2" xfId="0" applyNumberFormat="1" applyFont="1" applyBorder="1" applyAlignment="1">
      <alignment horizontal="center" vertical="center" wrapText="1"/>
    </xf>
    <xf numFmtId="0" fontId="3" fillId="0" borderId="2" xfId="0" applyFont="1" applyBorder="1" applyAlignment="1">
      <alignment horizontal="center" vertical="center" wrapText="1"/>
    </xf>
    <xf numFmtId="0" fontId="4" fillId="0" borderId="2" xfId="0" applyFont="1" applyBorder="1"/>
    <xf numFmtId="0" fontId="4" fillId="0" borderId="2" xfId="0" applyFont="1" applyBorder="1" applyAlignment="1">
      <alignment wrapText="1"/>
    </xf>
    <xf numFmtId="0" fontId="4" fillId="0" borderId="0" xfId="0" applyFont="1" applyFill="1" applyAlignment="1">
      <alignment horizontal="left"/>
    </xf>
    <xf numFmtId="0" fontId="4" fillId="0" borderId="0" xfId="0" applyFont="1" applyFill="1" applyAlignment="1">
      <alignment wrapText="1"/>
    </xf>
    <xf numFmtId="176" fontId="5" fillId="0" borderId="0" xfId="0" applyNumberFormat="1" applyFont="1" applyAlignment="1">
      <alignment horizontal="center" vertical="center"/>
    </xf>
    <xf numFmtId="176" fontId="5" fillId="0" borderId="0" xfId="0" applyNumberFormat="1" applyFont="1" applyFill="1" applyAlignment="1">
      <alignment horizontal="left" vertical="center"/>
    </xf>
    <xf numFmtId="177" fontId="5" fillId="0" borderId="0" xfId="0" applyNumberFormat="1" applyFont="1" applyFill="1" applyAlignment="1">
      <alignment horizontal="left" vertical="center"/>
    </xf>
    <xf numFmtId="176" fontId="2" fillId="0" borderId="1" xfId="0" applyNumberFormat="1" applyFont="1" applyBorder="1" applyAlignment="1">
      <alignment horizontal="center" vertical="center" wrapText="1"/>
    </xf>
    <xf numFmtId="176" fontId="3" fillId="0" borderId="2" xfId="0" applyNumberFormat="1" applyFont="1" applyBorder="1" applyAlignment="1">
      <alignment horizontal="center" vertical="center" wrapText="1"/>
    </xf>
    <xf numFmtId="0" fontId="3" fillId="0" borderId="2" xfId="0" applyNumberFormat="1" applyFont="1" applyBorder="1" applyAlignment="1">
      <alignment horizontal="center" vertical="center" wrapText="1"/>
    </xf>
    <xf numFmtId="0" fontId="4" fillId="0" borderId="2" xfId="0" applyFont="1" applyBorder="1" applyAlignment="1">
      <alignment horizontal="center"/>
    </xf>
    <xf numFmtId="176" fontId="4" fillId="0" borderId="2" xfId="0" applyNumberFormat="1" applyFont="1" applyBorder="1" applyAlignment="1">
      <alignment horizontal="center"/>
    </xf>
    <xf numFmtId="0" fontId="4" fillId="0" borderId="2" xfId="0" applyFont="1" applyBorder="1" applyAlignment="1">
      <alignment horizontal="center" wrapText="1"/>
    </xf>
    <xf numFmtId="176" fontId="4" fillId="0" borderId="0" xfId="0" applyNumberFormat="1" applyFont="1" applyFill="1" applyAlignment="1">
      <alignment horizontal="left"/>
    </xf>
    <xf numFmtId="176" fontId="4" fillId="0" borderId="0" xfId="0" applyNumberFormat="1" applyFont="1" applyFill="1"/>
    <xf numFmtId="0" fontId="4" fillId="0" borderId="0" xfId="0" applyFont="1" applyFill="1" applyAlignment="1">
      <alignment horizontal="center"/>
    </xf>
    <xf numFmtId="177" fontId="4" fillId="0" borderId="0" xfId="0" applyNumberFormat="1" applyFont="1" applyFill="1" applyAlignment="1">
      <alignment horizontal="center"/>
    </xf>
    <xf numFmtId="0" fontId="4" fillId="0" borderId="0" xfId="0" applyFont="1" applyFill="1" applyAlignment="1">
      <alignment horizontal="center" wrapText="1"/>
    </xf>
    <xf numFmtId="177" fontId="4" fillId="0" borderId="0" xfId="0" applyNumberFormat="1" applyFont="1" applyFill="1" applyAlignment="1">
      <alignment horizontal="left"/>
    </xf>
    <xf numFmtId="0" fontId="4" fillId="0" borderId="0" xfId="0" applyFont="1"/>
    <xf numFmtId="0" fontId="6" fillId="0" borderId="0" xfId="0" applyFont="1" applyAlignment="1">
      <alignment vertical="center"/>
    </xf>
    <xf numFmtId="0" fontId="7" fillId="0" borderId="0" xfId="0" applyFont="1" applyAlignment="1">
      <alignment horizontal="center" vertical="center"/>
    </xf>
    <xf numFmtId="0" fontId="8" fillId="0" borderId="0" xfId="0" applyFont="1" applyAlignment="1">
      <alignment vertical="center"/>
    </xf>
    <xf numFmtId="0" fontId="0" fillId="0" borderId="0" xfId="0" applyFont="1"/>
    <xf numFmtId="0" fontId="0" fillId="0" borderId="0" xfId="0" applyFont="1"/>
    <xf numFmtId="0" fontId="0" fillId="0" borderId="0" xfId="0" applyFont="1" applyAlignment="1">
      <alignment wrapText="1"/>
    </xf>
    <xf numFmtId="0" fontId="0" fillId="0" borderId="0" xfId="0" applyFont="1" applyAlignment="1">
      <alignment horizontal="center" wrapText="1"/>
    </xf>
    <xf numFmtId="0" fontId="0" fillId="0" borderId="0" xfId="0" applyFont="1" applyAlignment="1">
      <alignment horizontal="center"/>
    </xf>
    <xf numFmtId="176" fontId="0" fillId="0" borderId="0" xfId="0" applyNumberFormat="1" applyFont="1" applyAlignment="1">
      <alignment horizontal="center"/>
    </xf>
    <xf numFmtId="0" fontId="9" fillId="0" borderId="0" xfId="0" applyFont="1" applyAlignment="1">
      <alignment horizontal="center" vertical="center"/>
    </xf>
    <xf numFmtId="0" fontId="9" fillId="0" borderId="0" xfId="0" applyFont="1" applyAlignment="1">
      <alignment horizontal="center" vertical="center" wrapText="1"/>
    </xf>
    <xf numFmtId="49" fontId="7" fillId="0" borderId="1" xfId="0" applyNumberFormat="1" applyFont="1" applyBorder="1" applyAlignment="1">
      <alignment horizontal="center" vertical="center" wrapText="1"/>
    </xf>
    <xf numFmtId="49" fontId="7" fillId="0" borderId="2" xfId="0" applyNumberFormat="1" applyFont="1" applyBorder="1" applyAlignment="1">
      <alignment horizontal="center" vertical="center" wrapText="1"/>
    </xf>
    <xf numFmtId="0" fontId="8" fillId="0" borderId="2" xfId="0" applyFont="1" applyBorder="1" applyAlignment="1">
      <alignment horizontal="center" vertical="center" wrapText="1"/>
    </xf>
    <xf numFmtId="0" fontId="8" fillId="0" borderId="2" xfId="0" applyFont="1" applyBorder="1" applyAlignment="1">
      <alignment horizontal="center" vertical="center"/>
    </xf>
    <xf numFmtId="176" fontId="9" fillId="0" borderId="0" xfId="0" applyNumberFormat="1" applyFont="1" applyAlignment="1">
      <alignment horizontal="center" vertical="center"/>
    </xf>
    <xf numFmtId="176" fontId="7" fillId="0" borderId="1" xfId="0" applyNumberFormat="1" applyFont="1" applyBorder="1" applyAlignment="1">
      <alignment horizontal="center" vertical="center" wrapText="1"/>
    </xf>
    <xf numFmtId="0" fontId="8" fillId="0" borderId="2" xfId="0" applyNumberFormat="1" applyFont="1" applyBorder="1" applyAlignment="1">
      <alignment horizontal="center" vertical="center" wrapText="1"/>
    </xf>
    <xf numFmtId="176" fontId="8" fillId="0" borderId="2" xfId="0" applyNumberFormat="1" applyFont="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4DD60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38468;&#20214;6-1.&#40857;&#21326;&#21306;&#20154;&#27665;&#21307;&#38498;%20-%20&#21103;&#26412;.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表1"/>
      <sheetName val="表2"/>
      <sheetName val="问题类别配置"/>
    </sheetNames>
    <sheetDataSet>
      <sheetData sheetId="0"/>
      <sheetData sheetId="1"/>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X18"/>
  <sheetViews>
    <sheetView tabSelected="1" zoomScale="80" zoomScaleNormal="80" topLeftCell="G6" workbookViewId="0">
      <selection activeCell="A1" sqref="$A1:$XFD1048576"/>
    </sheetView>
  </sheetViews>
  <sheetFormatPr defaultColWidth="9" defaultRowHeight="14"/>
  <cols>
    <col min="1" max="1" width="4.125" style="42" customWidth="1"/>
    <col min="2" max="2" width="9" style="42"/>
    <col min="3" max="3" width="7.04166666666667" style="42" customWidth="1"/>
    <col min="4" max="4" width="9.15833333333333" style="42" customWidth="1"/>
    <col min="5" max="5" width="9" style="42"/>
    <col min="6" max="6" width="5.31666666666667" style="42" customWidth="1"/>
    <col min="7" max="7" width="7.80833333333333" style="43" customWidth="1"/>
    <col min="8" max="8" width="9.56666666666667" style="43" customWidth="1"/>
    <col min="9" max="9" width="11.6666666666667" style="43" customWidth="1"/>
    <col min="10" max="10" width="14.3666666666667" style="43" customWidth="1"/>
    <col min="11" max="11" width="37.1833333333333" style="42" customWidth="1"/>
    <col min="12" max="12" width="44.475" style="44" customWidth="1"/>
    <col min="13" max="13" width="9.03333333333333" style="45" customWidth="1"/>
    <col min="14" max="15" width="9.625" style="46" customWidth="1"/>
    <col min="16" max="16" width="29.275" style="43" customWidth="1"/>
    <col min="17" max="17" width="9.95833333333333" style="44" customWidth="1"/>
    <col min="18" max="23" width="8.575" style="44" customWidth="1"/>
    <col min="24" max="24" width="5.98333333333333" style="42" customWidth="1"/>
    <col min="25" max="16384" width="9" style="42"/>
  </cols>
  <sheetData>
    <row r="1" s="38" customFormat="1" ht="28" customHeight="1" spans="1:24">
      <c r="A1" s="47" t="s">
        <v>0</v>
      </c>
      <c r="B1" s="47"/>
      <c r="C1" s="47"/>
      <c r="D1" s="47"/>
      <c r="E1" s="47"/>
      <c r="F1" s="47"/>
      <c r="G1" s="48"/>
      <c r="H1" s="48"/>
      <c r="I1" s="48"/>
      <c r="J1" s="48"/>
      <c r="K1" s="47"/>
      <c r="L1" s="48"/>
      <c r="M1" s="47"/>
      <c r="N1" s="53"/>
      <c r="O1" s="53"/>
      <c r="P1" s="47"/>
      <c r="Q1" s="47"/>
      <c r="R1" s="47"/>
      <c r="S1" s="47"/>
      <c r="T1" s="47"/>
      <c r="U1" s="47"/>
      <c r="V1" s="47"/>
      <c r="W1" s="47"/>
      <c r="X1" s="47"/>
    </row>
    <row r="2" s="39" customFormat="1" ht="75" customHeight="1" spans="1:24">
      <c r="A2" s="49" t="s">
        <v>1</v>
      </c>
      <c r="B2" s="49" t="s">
        <v>2</v>
      </c>
      <c r="C2" s="49" t="s">
        <v>3</v>
      </c>
      <c r="D2" s="49" t="s">
        <v>4</v>
      </c>
      <c r="E2" s="49" t="s">
        <v>5</v>
      </c>
      <c r="F2" s="49" t="s">
        <v>6</v>
      </c>
      <c r="G2" s="50" t="s">
        <v>7</v>
      </c>
      <c r="H2" s="50" t="s">
        <v>8</v>
      </c>
      <c r="I2" s="49" t="s">
        <v>9</v>
      </c>
      <c r="J2" s="49" t="s">
        <v>10</v>
      </c>
      <c r="K2" s="49" t="s">
        <v>11</v>
      </c>
      <c r="L2" s="49" t="s">
        <v>12</v>
      </c>
      <c r="M2" s="49" t="s">
        <v>13</v>
      </c>
      <c r="N2" s="54" t="s">
        <v>14</v>
      </c>
      <c r="O2" s="54" t="s">
        <v>15</v>
      </c>
      <c r="P2" s="49" t="s">
        <v>16</v>
      </c>
      <c r="Q2" s="49" t="s">
        <v>17</v>
      </c>
      <c r="R2" s="49" t="s">
        <v>18</v>
      </c>
      <c r="S2" s="49" t="s">
        <v>19</v>
      </c>
      <c r="T2" s="49" t="s">
        <v>20</v>
      </c>
      <c r="U2" s="49" t="s">
        <v>21</v>
      </c>
      <c r="V2" s="49" t="s">
        <v>22</v>
      </c>
      <c r="W2" s="49" t="s">
        <v>23</v>
      </c>
      <c r="X2" s="49" t="s">
        <v>24</v>
      </c>
    </row>
    <row r="3" ht="56" spans="1:24">
      <c r="A3" s="51">
        <v>1</v>
      </c>
      <c r="B3" s="51" t="s">
        <v>25</v>
      </c>
      <c r="C3" s="51" t="s">
        <v>26</v>
      </c>
      <c r="D3" s="51" t="s">
        <v>27</v>
      </c>
      <c r="E3" s="51" t="s">
        <v>28</v>
      </c>
      <c r="F3" s="52" t="s">
        <v>29</v>
      </c>
      <c r="G3" s="51" t="s">
        <v>30</v>
      </c>
      <c r="H3" s="51" t="s">
        <v>31</v>
      </c>
      <c r="I3" s="51" t="s">
        <v>32</v>
      </c>
      <c r="J3" s="51" t="s">
        <v>33</v>
      </c>
      <c r="K3" s="51" t="s">
        <v>34</v>
      </c>
      <c r="L3" s="51" t="s">
        <v>35</v>
      </c>
      <c r="M3" s="55">
        <v>6</v>
      </c>
      <c r="N3" s="56">
        <v>730</v>
      </c>
      <c r="O3" s="56">
        <v>657</v>
      </c>
      <c r="P3" s="51" t="s">
        <v>36</v>
      </c>
      <c r="Q3" s="51" t="s">
        <v>37</v>
      </c>
      <c r="R3" s="52"/>
      <c r="S3" s="51"/>
      <c r="T3" s="51"/>
      <c r="U3" s="51"/>
      <c r="V3" s="51"/>
      <c r="W3" s="51"/>
      <c r="X3" s="52"/>
    </row>
    <row r="4" ht="112" spans="1:24">
      <c r="A4" s="51">
        <v>2</v>
      </c>
      <c r="B4" s="51" t="s">
        <v>25</v>
      </c>
      <c r="C4" s="51" t="s">
        <v>26</v>
      </c>
      <c r="D4" s="51" t="s">
        <v>27</v>
      </c>
      <c r="E4" s="51" t="s">
        <v>28</v>
      </c>
      <c r="F4" s="52" t="s">
        <v>29</v>
      </c>
      <c r="G4" s="51" t="s">
        <v>30</v>
      </c>
      <c r="H4" s="51" t="s">
        <v>38</v>
      </c>
      <c r="I4" s="51" t="s">
        <v>39</v>
      </c>
      <c r="J4" s="51" t="s">
        <v>40</v>
      </c>
      <c r="K4" s="51" t="s">
        <v>41</v>
      </c>
      <c r="L4" s="51" t="s">
        <v>42</v>
      </c>
      <c r="M4" s="55">
        <v>19</v>
      </c>
      <c r="N4" s="56">
        <v>661.2</v>
      </c>
      <c r="O4" s="56">
        <v>595.08</v>
      </c>
      <c r="P4" s="51" t="s">
        <v>43</v>
      </c>
      <c r="Q4" s="51" t="s">
        <v>37</v>
      </c>
      <c r="R4" s="52"/>
      <c r="S4" s="51"/>
      <c r="T4" s="51" t="s">
        <v>44</v>
      </c>
      <c r="U4" s="51"/>
      <c r="V4" s="51"/>
      <c r="W4" s="51"/>
      <c r="X4" s="52"/>
    </row>
    <row r="5" s="40" customFormat="1" ht="178" customHeight="1" spans="1:24">
      <c r="A5" s="51">
        <v>3</v>
      </c>
      <c r="B5" s="51" t="s">
        <v>25</v>
      </c>
      <c r="C5" s="51" t="s">
        <v>26</v>
      </c>
      <c r="D5" s="51" t="s">
        <v>27</v>
      </c>
      <c r="E5" s="51" t="s">
        <v>28</v>
      </c>
      <c r="F5" s="52" t="s">
        <v>29</v>
      </c>
      <c r="G5" s="51" t="s">
        <v>30</v>
      </c>
      <c r="H5" s="51" t="s">
        <v>38</v>
      </c>
      <c r="I5" s="51" t="s">
        <v>45</v>
      </c>
      <c r="J5" s="51" t="s">
        <v>46</v>
      </c>
      <c r="K5" s="51" t="s">
        <v>47</v>
      </c>
      <c r="L5" s="51" t="s">
        <v>48</v>
      </c>
      <c r="M5" s="55">
        <v>17</v>
      </c>
      <c r="N5" s="56">
        <v>645.5</v>
      </c>
      <c r="O5" s="56">
        <v>580.95</v>
      </c>
      <c r="P5" s="51" t="s">
        <v>49</v>
      </c>
      <c r="Q5" s="51" t="s">
        <v>37</v>
      </c>
      <c r="R5" s="52"/>
      <c r="S5" s="51"/>
      <c r="T5" s="51" t="s">
        <v>44</v>
      </c>
      <c r="U5" s="51"/>
      <c r="V5" s="51"/>
      <c r="W5" s="51"/>
      <c r="X5" s="52"/>
    </row>
    <row r="6" s="40" customFormat="1" ht="129" customHeight="1" spans="1:24">
      <c r="A6" s="51">
        <v>4</v>
      </c>
      <c r="B6" s="51" t="s">
        <v>25</v>
      </c>
      <c r="C6" s="51" t="s">
        <v>26</v>
      </c>
      <c r="D6" s="51" t="s">
        <v>27</v>
      </c>
      <c r="E6" s="51" t="s">
        <v>28</v>
      </c>
      <c r="F6" s="52" t="s">
        <v>29</v>
      </c>
      <c r="G6" s="51" t="s">
        <v>30</v>
      </c>
      <c r="H6" s="51" t="s">
        <v>38</v>
      </c>
      <c r="I6" s="51" t="s">
        <v>50</v>
      </c>
      <c r="J6" s="51" t="s">
        <v>51</v>
      </c>
      <c r="K6" s="51" t="s">
        <v>52</v>
      </c>
      <c r="L6" s="51" t="s">
        <v>53</v>
      </c>
      <c r="M6" s="55">
        <v>54</v>
      </c>
      <c r="N6" s="56">
        <v>2376</v>
      </c>
      <c r="O6" s="56">
        <v>2138.4</v>
      </c>
      <c r="P6" s="51" t="s">
        <v>54</v>
      </c>
      <c r="Q6" s="51" t="s">
        <v>37</v>
      </c>
      <c r="R6" s="52"/>
      <c r="S6" s="51"/>
      <c r="T6" s="51" t="s">
        <v>44</v>
      </c>
      <c r="U6" s="51"/>
      <c r="V6" s="51"/>
      <c r="W6" s="51"/>
      <c r="X6" s="52"/>
    </row>
    <row r="7" ht="98" spans="1:24">
      <c r="A7" s="51">
        <v>5</v>
      </c>
      <c r="B7" s="51" t="s">
        <v>25</v>
      </c>
      <c r="C7" s="51" t="s">
        <v>26</v>
      </c>
      <c r="D7" s="51" t="s">
        <v>27</v>
      </c>
      <c r="E7" s="51" t="s">
        <v>28</v>
      </c>
      <c r="F7" s="52" t="s">
        <v>29</v>
      </c>
      <c r="G7" s="51" t="s">
        <v>30</v>
      </c>
      <c r="H7" s="51" t="s">
        <v>38</v>
      </c>
      <c r="I7" s="51" t="s">
        <v>32</v>
      </c>
      <c r="J7" s="51" t="s">
        <v>55</v>
      </c>
      <c r="K7" s="51" t="s">
        <v>56</v>
      </c>
      <c r="L7" s="51" t="s">
        <v>57</v>
      </c>
      <c r="M7" s="55">
        <v>105</v>
      </c>
      <c r="N7" s="56">
        <v>1260</v>
      </c>
      <c r="O7" s="56">
        <v>1134</v>
      </c>
      <c r="P7" s="51" t="s">
        <v>58</v>
      </c>
      <c r="Q7" s="51" t="s">
        <v>37</v>
      </c>
      <c r="R7" s="52"/>
      <c r="S7" s="51"/>
      <c r="T7" s="51" t="s">
        <v>44</v>
      </c>
      <c r="U7" s="51"/>
      <c r="V7" s="51"/>
      <c r="W7" s="51"/>
      <c r="X7" s="52"/>
    </row>
    <row r="8" s="41" customFormat="1" ht="103" customHeight="1" spans="1:24">
      <c r="A8" s="51">
        <v>6</v>
      </c>
      <c r="B8" s="51" t="s">
        <v>25</v>
      </c>
      <c r="C8" s="51" t="s">
        <v>26</v>
      </c>
      <c r="D8" s="51" t="s">
        <v>27</v>
      </c>
      <c r="E8" s="51" t="s">
        <v>28</v>
      </c>
      <c r="F8" s="52" t="s">
        <v>29</v>
      </c>
      <c r="G8" s="51" t="s">
        <v>30</v>
      </c>
      <c r="H8" s="51" t="s">
        <v>38</v>
      </c>
      <c r="I8" s="51" t="s">
        <v>59</v>
      </c>
      <c r="J8" s="51" t="s">
        <v>60</v>
      </c>
      <c r="K8" s="51" t="s">
        <v>61</v>
      </c>
      <c r="L8" s="51" t="s">
        <v>61</v>
      </c>
      <c r="M8" s="55">
        <v>2256</v>
      </c>
      <c r="N8" s="56">
        <v>19462.2</v>
      </c>
      <c r="O8" s="56">
        <v>17515.98</v>
      </c>
      <c r="P8" s="51" t="s">
        <v>62</v>
      </c>
      <c r="Q8" s="51" t="s">
        <v>37</v>
      </c>
      <c r="R8" s="52"/>
      <c r="S8" s="51"/>
      <c r="T8" s="51" t="s">
        <v>44</v>
      </c>
      <c r="U8" s="51"/>
      <c r="V8" s="51"/>
      <c r="W8" s="51"/>
      <c r="X8" s="52"/>
    </row>
    <row r="9" s="41" customFormat="1" ht="98" spans="1:24">
      <c r="A9" s="51">
        <v>7</v>
      </c>
      <c r="B9" s="51" t="s">
        <v>25</v>
      </c>
      <c r="C9" s="51" t="s">
        <v>26</v>
      </c>
      <c r="D9" s="51" t="s">
        <v>27</v>
      </c>
      <c r="E9" s="51" t="s">
        <v>28</v>
      </c>
      <c r="F9" s="52" t="s">
        <v>29</v>
      </c>
      <c r="G9" s="51" t="s">
        <v>30</v>
      </c>
      <c r="H9" s="51" t="s">
        <v>38</v>
      </c>
      <c r="I9" s="51" t="s">
        <v>32</v>
      </c>
      <c r="J9" s="51" t="s">
        <v>63</v>
      </c>
      <c r="K9" s="51" t="s">
        <v>64</v>
      </c>
      <c r="L9" s="51" t="s">
        <v>65</v>
      </c>
      <c r="M9" s="55">
        <v>2266</v>
      </c>
      <c r="N9" s="56">
        <v>19532.2</v>
      </c>
      <c r="O9" s="56">
        <v>17578.98</v>
      </c>
      <c r="P9" s="51" t="s">
        <v>66</v>
      </c>
      <c r="Q9" s="51" t="s">
        <v>37</v>
      </c>
      <c r="R9" s="52"/>
      <c r="S9" s="51"/>
      <c r="T9" s="51" t="s">
        <v>44</v>
      </c>
      <c r="U9" s="51"/>
      <c r="V9" s="51"/>
      <c r="W9" s="51"/>
      <c r="X9" s="52"/>
    </row>
    <row r="10" s="41" customFormat="1" ht="56" spans="1:24">
      <c r="A10" s="51">
        <v>8</v>
      </c>
      <c r="B10" s="51" t="s">
        <v>25</v>
      </c>
      <c r="C10" s="51" t="s">
        <v>26</v>
      </c>
      <c r="D10" s="51" t="s">
        <v>27</v>
      </c>
      <c r="E10" s="51" t="s">
        <v>28</v>
      </c>
      <c r="F10" s="52" t="s">
        <v>29</v>
      </c>
      <c r="G10" s="51" t="s">
        <v>30</v>
      </c>
      <c r="H10" s="51" t="s">
        <v>38</v>
      </c>
      <c r="I10" s="51" t="s">
        <v>32</v>
      </c>
      <c r="J10" s="51" t="s">
        <v>67</v>
      </c>
      <c r="K10" s="51" t="s">
        <v>68</v>
      </c>
      <c r="L10" s="51" t="s">
        <v>69</v>
      </c>
      <c r="M10" s="55">
        <v>5018</v>
      </c>
      <c r="N10" s="56">
        <v>24310</v>
      </c>
      <c r="O10" s="56">
        <v>21879</v>
      </c>
      <c r="P10" s="51" t="s">
        <v>70</v>
      </c>
      <c r="Q10" s="51" t="s">
        <v>37</v>
      </c>
      <c r="R10" s="52"/>
      <c r="S10" s="51"/>
      <c r="T10" s="51" t="s">
        <v>44</v>
      </c>
      <c r="U10" s="51"/>
      <c r="V10" s="51"/>
      <c r="W10" s="51"/>
      <c r="X10" s="52"/>
    </row>
    <row r="11" ht="126" spans="1:24">
      <c r="A11" s="51">
        <v>9</v>
      </c>
      <c r="B11" s="51" t="s">
        <v>25</v>
      </c>
      <c r="C11" s="51" t="s">
        <v>26</v>
      </c>
      <c r="D11" s="51" t="s">
        <v>27</v>
      </c>
      <c r="E11" s="51" t="s">
        <v>28</v>
      </c>
      <c r="F11" s="52" t="s">
        <v>29</v>
      </c>
      <c r="G11" s="51" t="s">
        <v>30</v>
      </c>
      <c r="H11" s="51" t="s">
        <v>38</v>
      </c>
      <c r="I11" s="51" t="s">
        <v>71</v>
      </c>
      <c r="J11" s="51" t="s">
        <v>72</v>
      </c>
      <c r="K11" s="51" t="s">
        <v>73</v>
      </c>
      <c r="L11" s="51" t="s">
        <v>74</v>
      </c>
      <c r="M11" s="51">
        <v>17</v>
      </c>
      <c r="N11" s="56">
        <v>645.5</v>
      </c>
      <c r="O11" s="56">
        <v>580.95</v>
      </c>
      <c r="P11" s="51" t="s">
        <v>75</v>
      </c>
      <c r="Q11" s="51" t="s">
        <v>37</v>
      </c>
      <c r="R11" s="52"/>
      <c r="S11" s="51"/>
      <c r="T11" s="51" t="s">
        <v>44</v>
      </c>
      <c r="U11" s="51"/>
      <c r="V11" s="51"/>
      <c r="W11" s="51"/>
      <c r="X11" s="52"/>
    </row>
    <row r="12" ht="70" spans="1:24">
      <c r="A12" s="51">
        <v>10</v>
      </c>
      <c r="B12" s="51" t="s">
        <v>25</v>
      </c>
      <c r="C12" s="51" t="s">
        <v>26</v>
      </c>
      <c r="D12" s="51" t="s">
        <v>27</v>
      </c>
      <c r="E12" s="51" t="s">
        <v>28</v>
      </c>
      <c r="F12" s="52" t="s">
        <v>29</v>
      </c>
      <c r="G12" s="51" t="s">
        <v>30</v>
      </c>
      <c r="H12" s="51" t="s">
        <v>38</v>
      </c>
      <c r="I12" s="51" t="s">
        <v>76</v>
      </c>
      <c r="J12" s="51" t="s">
        <v>77</v>
      </c>
      <c r="K12" s="51" t="s">
        <v>78</v>
      </c>
      <c r="L12" s="51" t="s">
        <v>79</v>
      </c>
      <c r="M12" s="51">
        <v>6</v>
      </c>
      <c r="N12" s="56">
        <v>8400</v>
      </c>
      <c r="O12" s="56">
        <v>7560</v>
      </c>
      <c r="P12" s="51" t="s">
        <v>80</v>
      </c>
      <c r="Q12" s="51" t="s">
        <v>37</v>
      </c>
      <c r="R12" s="52"/>
      <c r="S12" s="51"/>
      <c r="T12" s="51" t="s">
        <v>44</v>
      </c>
      <c r="U12" s="51"/>
      <c r="V12" s="51"/>
      <c r="W12" s="51"/>
      <c r="X12" s="52"/>
    </row>
    <row r="13" ht="70" spans="1:24">
      <c r="A13" s="51">
        <v>11</v>
      </c>
      <c r="B13" s="51" t="s">
        <v>25</v>
      </c>
      <c r="C13" s="51" t="s">
        <v>26</v>
      </c>
      <c r="D13" s="51" t="s">
        <v>27</v>
      </c>
      <c r="E13" s="51" t="s">
        <v>28</v>
      </c>
      <c r="F13" s="52" t="s">
        <v>29</v>
      </c>
      <c r="G13" s="51" t="s">
        <v>30</v>
      </c>
      <c r="H13" s="51" t="s">
        <v>38</v>
      </c>
      <c r="I13" s="51" t="s">
        <v>32</v>
      </c>
      <c r="J13" s="51" t="s">
        <v>81</v>
      </c>
      <c r="K13" s="51" t="s">
        <v>82</v>
      </c>
      <c r="L13" s="51" t="s">
        <v>83</v>
      </c>
      <c r="M13" s="51">
        <v>22</v>
      </c>
      <c r="N13" s="56">
        <v>2810</v>
      </c>
      <c r="O13" s="56">
        <v>2529</v>
      </c>
      <c r="P13" s="51" t="s">
        <v>84</v>
      </c>
      <c r="Q13" s="51" t="s">
        <v>37</v>
      </c>
      <c r="R13" s="52"/>
      <c r="S13" s="51"/>
      <c r="T13" s="51" t="s">
        <v>44</v>
      </c>
      <c r="U13" s="51"/>
      <c r="V13" s="51"/>
      <c r="W13" s="51"/>
      <c r="X13" s="52"/>
    </row>
    <row r="14" ht="56" spans="1:24">
      <c r="A14" s="51">
        <v>12</v>
      </c>
      <c r="B14" s="51" t="s">
        <v>25</v>
      </c>
      <c r="C14" s="51" t="s">
        <v>26</v>
      </c>
      <c r="D14" s="51" t="s">
        <v>27</v>
      </c>
      <c r="E14" s="51" t="s">
        <v>28</v>
      </c>
      <c r="F14" s="52" t="s">
        <v>29</v>
      </c>
      <c r="G14" s="51" t="s">
        <v>30</v>
      </c>
      <c r="H14" s="51" t="s">
        <v>38</v>
      </c>
      <c r="I14" s="51" t="s">
        <v>32</v>
      </c>
      <c r="J14" s="51" t="s">
        <v>85</v>
      </c>
      <c r="K14" s="51" t="s">
        <v>86</v>
      </c>
      <c r="L14" s="51" t="s">
        <v>35</v>
      </c>
      <c r="M14" s="51">
        <v>14</v>
      </c>
      <c r="N14" s="56">
        <v>1020</v>
      </c>
      <c r="O14" s="56">
        <v>918</v>
      </c>
      <c r="P14" s="51" t="s">
        <v>87</v>
      </c>
      <c r="Q14" s="51" t="s">
        <v>37</v>
      </c>
      <c r="R14" s="52"/>
      <c r="S14" s="51"/>
      <c r="T14" s="51" t="s">
        <v>44</v>
      </c>
      <c r="U14" s="51"/>
      <c r="V14" s="51"/>
      <c r="W14" s="51"/>
      <c r="X14" s="52"/>
    </row>
    <row r="15" ht="70" spans="1:24">
      <c r="A15" s="51">
        <v>13</v>
      </c>
      <c r="B15" s="51" t="s">
        <v>25</v>
      </c>
      <c r="C15" s="51" t="s">
        <v>26</v>
      </c>
      <c r="D15" s="51" t="s">
        <v>27</v>
      </c>
      <c r="E15" s="51" t="s">
        <v>28</v>
      </c>
      <c r="F15" s="52" t="s">
        <v>29</v>
      </c>
      <c r="G15" s="51" t="s">
        <v>30</v>
      </c>
      <c r="H15" s="51" t="s">
        <v>38</v>
      </c>
      <c r="I15" s="51" t="s">
        <v>32</v>
      </c>
      <c r="J15" s="51" t="s">
        <v>88</v>
      </c>
      <c r="K15" s="51" t="s">
        <v>89</v>
      </c>
      <c r="L15" s="51" t="s">
        <v>90</v>
      </c>
      <c r="M15" s="55">
        <v>22</v>
      </c>
      <c r="N15" s="56">
        <v>589.8</v>
      </c>
      <c r="O15" s="56">
        <v>530.82</v>
      </c>
      <c r="P15" s="51" t="s">
        <v>91</v>
      </c>
      <c r="Q15" s="51" t="s">
        <v>37</v>
      </c>
      <c r="R15" s="52"/>
      <c r="S15" s="51"/>
      <c r="T15" s="51" t="s">
        <v>44</v>
      </c>
      <c r="U15" s="51"/>
      <c r="V15" s="51"/>
      <c r="W15" s="51"/>
      <c r="X15" s="52"/>
    </row>
    <row r="16" ht="56" spans="1:24">
      <c r="A16" s="51">
        <v>14</v>
      </c>
      <c r="B16" s="51" t="s">
        <v>25</v>
      </c>
      <c r="C16" s="51" t="s">
        <v>26</v>
      </c>
      <c r="D16" s="51" t="s">
        <v>27</v>
      </c>
      <c r="E16" s="51" t="s">
        <v>28</v>
      </c>
      <c r="F16" s="52" t="s">
        <v>29</v>
      </c>
      <c r="G16" s="51" t="s">
        <v>30</v>
      </c>
      <c r="H16" s="51" t="s">
        <v>38</v>
      </c>
      <c r="I16" s="51" t="s">
        <v>32</v>
      </c>
      <c r="J16" s="51" t="s">
        <v>92</v>
      </c>
      <c r="K16" s="51" t="s">
        <v>93</v>
      </c>
      <c r="L16" s="51" t="s">
        <v>94</v>
      </c>
      <c r="M16" s="51">
        <v>11</v>
      </c>
      <c r="N16" s="56">
        <v>503.7</v>
      </c>
      <c r="O16" s="56">
        <v>453.33</v>
      </c>
      <c r="P16" s="51" t="s">
        <v>95</v>
      </c>
      <c r="Q16" s="51" t="s">
        <v>37</v>
      </c>
      <c r="R16" s="52"/>
      <c r="S16" s="51"/>
      <c r="T16" s="51" t="s">
        <v>44</v>
      </c>
      <c r="U16" s="51"/>
      <c r="V16" s="51"/>
      <c r="W16" s="51"/>
      <c r="X16" s="52"/>
    </row>
    <row r="17" ht="84" spans="1:24">
      <c r="A17" s="51">
        <v>15</v>
      </c>
      <c r="B17" s="51" t="s">
        <v>25</v>
      </c>
      <c r="C17" s="51" t="s">
        <v>26</v>
      </c>
      <c r="D17" s="51" t="s">
        <v>27</v>
      </c>
      <c r="E17" s="51" t="s">
        <v>28</v>
      </c>
      <c r="F17" s="52" t="s">
        <v>29</v>
      </c>
      <c r="G17" s="51" t="s">
        <v>30</v>
      </c>
      <c r="H17" s="51" t="s">
        <v>38</v>
      </c>
      <c r="I17" s="51" t="s">
        <v>32</v>
      </c>
      <c r="J17" s="51" t="s">
        <v>96</v>
      </c>
      <c r="K17" s="51" t="s">
        <v>97</v>
      </c>
      <c r="L17" s="51" t="s">
        <v>98</v>
      </c>
      <c r="M17" s="51">
        <v>20</v>
      </c>
      <c r="N17" s="56">
        <v>572.5</v>
      </c>
      <c r="O17" s="56">
        <v>515.25</v>
      </c>
      <c r="P17" s="51" t="s">
        <v>99</v>
      </c>
      <c r="Q17" s="51" t="s">
        <v>37</v>
      </c>
      <c r="R17" s="52"/>
      <c r="S17" s="51"/>
      <c r="T17" s="51" t="s">
        <v>44</v>
      </c>
      <c r="U17" s="51"/>
      <c r="V17" s="51"/>
      <c r="W17" s="51"/>
      <c r="X17" s="52"/>
    </row>
    <row r="18" ht="70" spans="1:24">
      <c r="A18" s="51">
        <v>16</v>
      </c>
      <c r="B18" s="51" t="s">
        <v>25</v>
      </c>
      <c r="C18" s="51" t="s">
        <v>26</v>
      </c>
      <c r="D18" s="51" t="s">
        <v>27</v>
      </c>
      <c r="E18" s="51" t="s">
        <v>28</v>
      </c>
      <c r="F18" s="52" t="s">
        <v>29</v>
      </c>
      <c r="G18" s="51" t="s">
        <v>100</v>
      </c>
      <c r="H18" s="51" t="s">
        <v>101</v>
      </c>
      <c r="I18" s="51" t="s">
        <v>32</v>
      </c>
      <c r="J18" s="51" t="s">
        <v>102</v>
      </c>
      <c r="K18" s="51" t="s">
        <v>103</v>
      </c>
      <c r="L18" s="51" t="s">
        <v>103</v>
      </c>
      <c r="M18" s="51">
        <v>440</v>
      </c>
      <c r="N18" s="56">
        <v>8800</v>
      </c>
      <c r="O18" s="56">
        <v>7920</v>
      </c>
      <c r="P18" s="51" t="s">
        <v>104</v>
      </c>
      <c r="Q18" s="51" t="s">
        <v>37</v>
      </c>
      <c r="R18" s="52"/>
      <c r="S18" s="51"/>
      <c r="T18" s="51"/>
      <c r="U18" s="51" t="s">
        <v>44</v>
      </c>
      <c r="V18" s="51"/>
      <c r="W18" s="51"/>
      <c r="X18" s="52"/>
    </row>
  </sheetData>
  <autoFilter ref="A2:X17">
    <sortState ref="A3:X17">
      <sortCondition ref="N3" descending="1"/>
    </sortState>
    <extLst/>
  </autoFilter>
  <mergeCells count="1">
    <mergeCell ref="A1:X1"/>
  </mergeCells>
  <dataValidations count="2">
    <dataValidation type="list" allowBlank="1" showInputMessage="1" showErrorMessage="1" sqref="G3 G4 G5 G6 G7 G12 G13 G14 G17 G18 G8:G11 G15:G16">
      <formula1>[1]问题类别配置!#REF!</formula1>
    </dataValidation>
    <dataValidation type="list" allowBlank="1" showInputMessage="1" showErrorMessage="1" sqref="H3 H4 H5 H6 H7 H12 H13 H14 H17 H18 H8:H11 H15:H16">
      <formula1>INDIRECT($C3)</formula1>
    </dataValidation>
  </dataValidations>
  <pageMargins left="0.314583333333333" right="0.236111111111111" top="0.75" bottom="0.75" header="0.3" footer="0.3"/>
  <pageSetup paperSize="9" scale="80"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EU23"/>
  <sheetViews>
    <sheetView topLeftCell="A17" workbookViewId="0">
      <selection activeCell="A17" sqref="$A1:$XFD1048576"/>
    </sheetView>
  </sheetViews>
  <sheetFormatPr defaultColWidth="9" defaultRowHeight="14"/>
  <cols>
    <col min="1" max="1" width="4.83333333333333" style="6" customWidth="1"/>
    <col min="2" max="2" width="7.33333333333333" style="6" customWidth="1"/>
    <col min="3" max="3" width="6.66666666666667" style="7" customWidth="1"/>
    <col min="4" max="4" width="6.83333333333333" style="7" customWidth="1"/>
    <col min="5" max="5" width="8.5" style="7" customWidth="1"/>
    <col min="6" max="6" width="10.7583333333333" style="7" customWidth="1"/>
    <col min="7" max="7" width="32" style="6" customWidth="1"/>
    <col min="8" max="8" width="34" style="8" customWidth="1"/>
    <col min="9" max="9" width="6.66666666666667" style="8" customWidth="1"/>
    <col min="10" max="11" width="8.58333333333333" style="9" customWidth="1"/>
    <col min="12" max="12" width="6.16666666666667" style="10" customWidth="1"/>
    <col min="13" max="16384" width="9" style="6"/>
  </cols>
  <sheetData>
    <row r="1" s="1" customFormat="1" ht="28" customHeight="1" spans="1:12">
      <c r="A1" s="11" t="s">
        <v>105</v>
      </c>
      <c r="B1" s="11"/>
      <c r="C1" s="12"/>
      <c r="D1" s="12"/>
      <c r="E1" s="12"/>
      <c r="F1" s="12"/>
      <c r="G1" s="11"/>
      <c r="H1" s="11"/>
      <c r="I1" s="11"/>
      <c r="J1" s="22"/>
      <c r="K1" s="22"/>
      <c r="L1" s="11"/>
    </row>
    <row r="2" s="2" customFormat="1" ht="28" customHeight="1" spans="1:16">
      <c r="A2" s="13" t="s">
        <v>106</v>
      </c>
      <c r="B2" s="14"/>
      <c r="C2" s="14"/>
      <c r="D2" s="14"/>
      <c r="E2" s="14"/>
      <c r="F2" s="14"/>
      <c r="G2" s="14"/>
      <c r="H2" s="14"/>
      <c r="I2" s="14"/>
      <c r="J2" s="23"/>
      <c r="K2" s="23"/>
      <c r="L2" s="14"/>
      <c r="M2" s="24"/>
      <c r="N2" s="14"/>
      <c r="O2" s="14"/>
      <c r="P2" s="14"/>
    </row>
    <row r="3" s="3" customFormat="1" ht="75" customHeight="1" spans="1:12">
      <c r="A3" s="15" t="s">
        <v>1</v>
      </c>
      <c r="B3" s="15" t="s">
        <v>4</v>
      </c>
      <c r="C3" s="16" t="s">
        <v>7</v>
      </c>
      <c r="D3" s="16" t="s">
        <v>8</v>
      </c>
      <c r="E3" s="15" t="s">
        <v>9</v>
      </c>
      <c r="F3" s="15" t="s">
        <v>10</v>
      </c>
      <c r="G3" s="15" t="s">
        <v>11</v>
      </c>
      <c r="H3" s="15" t="s">
        <v>16</v>
      </c>
      <c r="I3" s="15" t="s">
        <v>13</v>
      </c>
      <c r="J3" s="25" t="s">
        <v>14</v>
      </c>
      <c r="K3" s="25" t="s">
        <v>15</v>
      </c>
      <c r="L3" s="15" t="s">
        <v>17</v>
      </c>
    </row>
    <row r="4" s="4" customFormat="1" ht="117" customHeight="1" spans="1:12">
      <c r="A4" s="17">
        <v>1</v>
      </c>
      <c r="B4" s="17" t="s">
        <v>27</v>
      </c>
      <c r="C4" s="17" t="s">
        <v>30</v>
      </c>
      <c r="D4" s="17" t="s">
        <v>38</v>
      </c>
      <c r="E4" s="17" t="s">
        <v>71</v>
      </c>
      <c r="F4" s="17" t="s">
        <v>72</v>
      </c>
      <c r="G4" s="17" t="s">
        <v>73</v>
      </c>
      <c r="H4" s="17" t="s">
        <v>75</v>
      </c>
      <c r="I4" s="17">
        <v>6</v>
      </c>
      <c r="J4" s="26">
        <v>730</v>
      </c>
      <c r="K4" s="26">
        <f t="shared" ref="K4:K19" si="0">J4*0.9</f>
        <v>657</v>
      </c>
      <c r="L4" s="17" t="s">
        <v>37</v>
      </c>
    </row>
    <row r="5" s="4" customFormat="1" ht="118" customHeight="1" spans="1:12">
      <c r="A5" s="17">
        <v>2</v>
      </c>
      <c r="B5" s="17" t="s">
        <v>27</v>
      </c>
      <c r="C5" s="17" t="s">
        <v>30</v>
      </c>
      <c r="D5" s="17" t="s">
        <v>38</v>
      </c>
      <c r="E5" s="17" t="s">
        <v>76</v>
      </c>
      <c r="F5" s="17" t="s">
        <v>77</v>
      </c>
      <c r="G5" s="17" t="s">
        <v>78</v>
      </c>
      <c r="H5" s="17" t="s">
        <v>80</v>
      </c>
      <c r="I5" s="17">
        <v>19</v>
      </c>
      <c r="J5" s="26">
        <v>661.2</v>
      </c>
      <c r="K5" s="26">
        <f t="shared" si="0"/>
        <v>595.08</v>
      </c>
      <c r="L5" s="17" t="s">
        <v>37</v>
      </c>
    </row>
    <row r="6" ht="113" customHeight="1" spans="1:12">
      <c r="A6" s="17">
        <v>3</v>
      </c>
      <c r="B6" s="17" t="s">
        <v>27</v>
      </c>
      <c r="C6" s="17" t="s">
        <v>30</v>
      </c>
      <c r="D6" s="17" t="s">
        <v>38</v>
      </c>
      <c r="E6" s="17" t="s">
        <v>32</v>
      </c>
      <c r="F6" s="17" t="s">
        <v>81</v>
      </c>
      <c r="G6" s="17" t="s">
        <v>82</v>
      </c>
      <c r="H6" s="17" t="s">
        <v>84</v>
      </c>
      <c r="I6" s="17">
        <v>17</v>
      </c>
      <c r="J6" s="26">
        <v>645.5</v>
      </c>
      <c r="K6" s="26">
        <f t="shared" si="0"/>
        <v>580.95</v>
      </c>
      <c r="L6" s="17" t="s">
        <v>37</v>
      </c>
    </row>
    <row r="7" ht="144" customHeight="1" spans="1:12">
      <c r="A7" s="17">
        <v>4</v>
      </c>
      <c r="B7" s="17" t="s">
        <v>27</v>
      </c>
      <c r="C7" s="17" t="s">
        <v>30</v>
      </c>
      <c r="D7" s="17" t="s">
        <v>38</v>
      </c>
      <c r="E7" s="17" t="s">
        <v>59</v>
      </c>
      <c r="F7" s="17" t="s">
        <v>60</v>
      </c>
      <c r="G7" s="17" t="s">
        <v>61</v>
      </c>
      <c r="H7" s="17" t="s">
        <v>62</v>
      </c>
      <c r="I7" s="27">
        <v>54</v>
      </c>
      <c r="J7" s="26">
        <v>2376</v>
      </c>
      <c r="K7" s="26">
        <f t="shared" si="0"/>
        <v>2138.4</v>
      </c>
      <c r="L7" s="17" t="s">
        <v>37</v>
      </c>
    </row>
    <row r="8" ht="119" customHeight="1" spans="1:12">
      <c r="A8" s="17">
        <v>5</v>
      </c>
      <c r="B8" s="17" t="s">
        <v>27</v>
      </c>
      <c r="C8" s="17" t="s">
        <v>30</v>
      </c>
      <c r="D8" s="17" t="s">
        <v>38</v>
      </c>
      <c r="E8" s="17" t="s">
        <v>32</v>
      </c>
      <c r="F8" s="17" t="s">
        <v>63</v>
      </c>
      <c r="G8" s="17" t="s">
        <v>64</v>
      </c>
      <c r="H8" s="17" t="s">
        <v>107</v>
      </c>
      <c r="I8" s="27">
        <v>105</v>
      </c>
      <c r="J8" s="26">
        <v>1260</v>
      </c>
      <c r="K8" s="26">
        <f t="shared" si="0"/>
        <v>1134</v>
      </c>
      <c r="L8" s="17" t="s">
        <v>37</v>
      </c>
    </row>
    <row r="9" ht="140" customHeight="1" spans="1:12">
      <c r="A9" s="17">
        <v>6</v>
      </c>
      <c r="B9" s="17" t="s">
        <v>27</v>
      </c>
      <c r="C9" s="17" t="s">
        <v>30</v>
      </c>
      <c r="D9" s="17" t="s">
        <v>38</v>
      </c>
      <c r="E9" s="17" t="s">
        <v>50</v>
      </c>
      <c r="F9" s="17" t="s">
        <v>51</v>
      </c>
      <c r="G9" s="17" t="s">
        <v>52</v>
      </c>
      <c r="H9" s="17" t="s">
        <v>54</v>
      </c>
      <c r="I9" s="27">
        <v>2256</v>
      </c>
      <c r="J9" s="26">
        <v>19462.2</v>
      </c>
      <c r="K9" s="26">
        <f t="shared" si="0"/>
        <v>17515.98</v>
      </c>
      <c r="L9" s="17" t="s">
        <v>37</v>
      </c>
    </row>
    <row r="10" ht="140" customHeight="1" spans="1:12">
      <c r="A10" s="17">
        <v>7</v>
      </c>
      <c r="B10" s="17" t="s">
        <v>27</v>
      </c>
      <c r="C10" s="17" t="s">
        <v>30</v>
      </c>
      <c r="D10" s="17" t="s">
        <v>38</v>
      </c>
      <c r="E10" s="17" t="s">
        <v>45</v>
      </c>
      <c r="F10" s="17" t="s">
        <v>46</v>
      </c>
      <c r="G10" s="17" t="s">
        <v>47</v>
      </c>
      <c r="H10" s="17" t="s">
        <v>49</v>
      </c>
      <c r="I10" s="27">
        <v>2266</v>
      </c>
      <c r="J10" s="26">
        <v>19532.2</v>
      </c>
      <c r="K10" s="26">
        <f t="shared" si="0"/>
        <v>17578.98</v>
      </c>
      <c r="L10" s="17" t="s">
        <v>37</v>
      </c>
    </row>
    <row r="11" ht="158" customHeight="1" spans="1:12">
      <c r="A11" s="17">
        <v>8</v>
      </c>
      <c r="B11" s="17" t="s">
        <v>27</v>
      </c>
      <c r="C11" s="17" t="s">
        <v>30</v>
      </c>
      <c r="D11" s="17" t="s">
        <v>38</v>
      </c>
      <c r="E11" s="17" t="s">
        <v>39</v>
      </c>
      <c r="F11" s="17" t="s">
        <v>40</v>
      </c>
      <c r="G11" s="17" t="s">
        <v>41</v>
      </c>
      <c r="H11" s="17" t="s">
        <v>43</v>
      </c>
      <c r="I11" s="27">
        <v>5018</v>
      </c>
      <c r="J11" s="26">
        <v>24310</v>
      </c>
      <c r="K11" s="26">
        <f t="shared" si="0"/>
        <v>21879</v>
      </c>
      <c r="L11" s="17" t="s">
        <v>37</v>
      </c>
    </row>
    <row r="12" ht="101" customHeight="1" spans="1:12">
      <c r="A12" s="17">
        <v>9</v>
      </c>
      <c r="B12" s="17" t="s">
        <v>27</v>
      </c>
      <c r="C12" s="17" t="s">
        <v>30</v>
      </c>
      <c r="D12" s="17" t="s">
        <v>38</v>
      </c>
      <c r="E12" s="17" t="s">
        <v>32</v>
      </c>
      <c r="F12" s="17" t="s">
        <v>85</v>
      </c>
      <c r="G12" s="17" t="s">
        <v>86</v>
      </c>
      <c r="H12" s="17" t="s">
        <v>87</v>
      </c>
      <c r="I12" s="17">
        <v>17</v>
      </c>
      <c r="J12" s="26">
        <v>645.5</v>
      </c>
      <c r="K12" s="26">
        <f t="shared" si="0"/>
        <v>580.95</v>
      </c>
      <c r="L12" s="17" t="s">
        <v>37</v>
      </c>
    </row>
    <row r="13" ht="101" customHeight="1" spans="1:12">
      <c r="A13" s="17">
        <v>10</v>
      </c>
      <c r="B13" s="17" t="s">
        <v>27</v>
      </c>
      <c r="C13" s="17" t="s">
        <v>30</v>
      </c>
      <c r="D13" s="17" t="s">
        <v>31</v>
      </c>
      <c r="E13" s="17" t="s">
        <v>32</v>
      </c>
      <c r="F13" s="17" t="s">
        <v>33</v>
      </c>
      <c r="G13" s="17" t="s">
        <v>34</v>
      </c>
      <c r="H13" s="17" t="s">
        <v>108</v>
      </c>
      <c r="I13" s="27">
        <v>6</v>
      </c>
      <c r="J13" s="26">
        <v>8400</v>
      </c>
      <c r="K13" s="26">
        <f t="shared" si="0"/>
        <v>7560</v>
      </c>
      <c r="L13" s="17" t="s">
        <v>37</v>
      </c>
    </row>
    <row r="14" ht="130" customHeight="1" spans="1:12">
      <c r="A14" s="17">
        <v>11</v>
      </c>
      <c r="B14" s="17" t="s">
        <v>27</v>
      </c>
      <c r="C14" s="17" t="s">
        <v>30</v>
      </c>
      <c r="D14" s="17" t="s">
        <v>38</v>
      </c>
      <c r="E14" s="17" t="s">
        <v>32</v>
      </c>
      <c r="F14" s="17" t="s">
        <v>55</v>
      </c>
      <c r="G14" s="17" t="s">
        <v>56</v>
      </c>
      <c r="H14" s="17" t="s">
        <v>58</v>
      </c>
      <c r="I14" s="27">
        <v>22</v>
      </c>
      <c r="J14" s="26">
        <v>2810</v>
      </c>
      <c r="K14" s="26">
        <f t="shared" si="0"/>
        <v>2529</v>
      </c>
      <c r="L14" s="17" t="s">
        <v>37</v>
      </c>
    </row>
    <row r="15" ht="90" customHeight="1" spans="1:12">
      <c r="A15" s="17">
        <v>12</v>
      </c>
      <c r="B15" s="17" t="s">
        <v>27</v>
      </c>
      <c r="C15" s="17" t="s">
        <v>30</v>
      </c>
      <c r="D15" s="17" t="s">
        <v>38</v>
      </c>
      <c r="E15" s="17" t="s">
        <v>32</v>
      </c>
      <c r="F15" s="17" t="s">
        <v>67</v>
      </c>
      <c r="G15" s="17" t="s">
        <v>68</v>
      </c>
      <c r="H15" s="17" t="s">
        <v>70</v>
      </c>
      <c r="I15" s="27">
        <v>14</v>
      </c>
      <c r="J15" s="26">
        <v>1020</v>
      </c>
      <c r="K15" s="26">
        <f t="shared" si="0"/>
        <v>918</v>
      </c>
      <c r="L15" s="17" t="s">
        <v>37</v>
      </c>
    </row>
    <row r="16" ht="130" customHeight="1" spans="1:12">
      <c r="A16" s="17">
        <v>13</v>
      </c>
      <c r="B16" s="17" t="s">
        <v>27</v>
      </c>
      <c r="C16" s="17" t="s">
        <v>30</v>
      </c>
      <c r="D16" s="17" t="s">
        <v>38</v>
      </c>
      <c r="E16" s="17" t="s">
        <v>32</v>
      </c>
      <c r="F16" s="17" t="s">
        <v>88</v>
      </c>
      <c r="G16" s="17" t="s">
        <v>89</v>
      </c>
      <c r="H16" s="17" t="s">
        <v>91</v>
      </c>
      <c r="I16" s="27">
        <v>22</v>
      </c>
      <c r="J16" s="26">
        <v>589.8</v>
      </c>
      <c r="K16" s="26">
        <f t="shared" si="0"/>
        <v>530.82</v>
      </c>
      <c r="L16" s="17" t="s">
        <v>37</v>
      </c>
    </row>
    <row r="17" ht="148" customHeight="1" spans="1:12">
      <c r="A17" s="17">
        <v>14</v>
      </c>
      <c r="B17" s="17" t="s">
        <v>27</v>
      </c>
      <c r="C17" s="17" t="s">
        <v>30</v>
      </c>
      <c r="D17" s="17" t="s">
        <v>38</v>
      </c>
      <c r="E17" s="17" t="s">
        <v>32</v>
      </c>
      <c r="F17" s="17" t="s">
        <v>96</v>
      </c>
      <c r="G17" s="17" t="s">
        <v>97</v>
      </c>
      <c r="H17" s="17" t="s">
        <v>99</v>
      </c>
      <c r="I17" s="17">
        <v>11</v>
      </c>
      <c r="J17" s="26">
        <v>503.7</v>
      </c>
      <c r="K17" s="26">
        <f t="shared" si="0"/>
        <v>453.33</v>
      </c>
      <c r="L17" s="17" t="s">
        <v>37</v>
      </c>
    </row>
    <row r="18" ht="112" customHeight="1" spans="1:12">
      <c r="A18" s="17">
        <v>15</v>
      </c>
      <c r="B18" s="17" t="s">
        <v>27</v>
      </c>
      <c r="C18" s="17" t="s">
        <v>30</v>
      </c>
      <c r="D18" s="17" t="s">
        <v>38</v>
      </c>
      <c r="E18" s="17" t="s">
        <v>32</v>
      </c>
      <c r="F18" s="17" t="s">
        <v>92</v>
      </c>
      <c r="G18" s="17" t="s">
        <v>93</v>
      </c>
      <c r="H18" s="17" t="s">
        <v>95</v>
      </c>
      <c r="I18" s="17">
        <v>20</v>
      </c>
      <c r="J18" s="26">
        <v>572.5</v>
      </c>
      <c r="K18" s="26">
        <f t="shared" si="0"/>
        <v>515.25</v>
      </c>
      <c r="L18" s="17" t="s">
        <v>37</v>
      </c>
    </row>
    <row r="19" ht="112" customHeight="1" spans="1:12">
      <c r="A19" s="17">
        <v>16</v>
      </c>
      <c r="B19" s="17" t="s">
        <v>27</v>
      </c>
      <c r="C19" s="17" t="s">
        <v>100</v>
      </c>
      <c r="D19" s="17" t="s">
        <v>101</v>
      </c>
      <c r="E19" s="17" t="s">
        <v>32</v>
      </c>
      <c r="F19" s="17" t="s">
        <v>102</v>
      </c>
      <c r="G19" s="17" t="s">
        <v>103</v>
      </c>
      <c r="H19" s="17" t="s">
        <v>104</v>
      </c>
      <c r="I19" s="17">
        <v>440</v>
      </c>
      <c r="J19" s="26">
        <v>8800</v>
      </c>
      <c r="K19" s="26">
        <f t="shared" si="0"/>
        <v>7920</v>
      </c>
      <c r="L19" s="17" t="s">
        <v>37</v>
      </c>
    </row>
    <row r="20" ht="25" customHeight="1" spans="1:12">
      <c r="A20" s="18" t="s">
        <v>109</v>
      </c>
      <c r="B20" s="18"/>
      <c r="C20" s="19"/>
      <c r="D20" s="19"/>
      <c r="E20" s="19"/>
      <c r="F20" s="19"/>
      <c r="G20" s="18"/>
      <c r="H20" s="19"/>
      <c r="I20" s="28">
        <f>SUM(I4:I19)</f>
        <v>10293</v>
      </c>
      <c r="J20" s="29">
        <f>SUM(J4:J19)</f>
        <v>92318.6</v>
      </c>
      <c r="K20" s="29">
        <f>SUM(K4:K19)</f>
        <v>83086.74</v>
      </c>
      <c r="L20" s="30"/>
    </row>
    <row r="21" s="5" customFormat="1" spans="1:16375">
      <c r="A21" s="20" t="s">
        <v>110</v>
      </c>
      <c r="B21" s="20"/>
      <c r="C21" s="20"/>
      <c r="D21" s="20"/>
      <c r="E21" s="20"/>
      <c r="F21" s="20"/>
      <c r="G21" s="20"/>
      <c r="H21" s="20"/>
      <c r="I21" s="20"/>
      <c r="J21" s="31"/>
      <c r="K21" s="31"/>
      <c r="L21" s="20"/>
      <c r="M21" s="20"/>
      <c r="N21" s="20"/>
      <c r="O21" s="20"/>
      <c r="P21" s="20"/>
      <c r="XEU21" s="37"/>
    </row>
    <row r="22" s="5" customFormat="1" spans="3:16375">
      <c r="C22" s="21"/>
      <c r="J22" s="32"/>
      <c r="K22" s="32"/>
      <c r="L22" s="33"/>
      <c r="M22" s="34"/>
      <c r="N22" s="33"/>
      <c r="O22" s="33"/>
      <c r="P22" s="35"/>
      <c r="XEU22" s="37"/>
    </row>
    <row r="23" s="5" customFormat="1" spans="1:16375">
      <c r="A23" s="20" t="s">
        <v>111</v>
      </c>
      <c r="B23" s="20"/>
      <c r="C23" s="20"/>
      <c r="D23" s="20"/>
      <c r="E23" s="20"/>
      <c r="F23" s="20"/>
      <c r="G23" s="20"/>
      <c r="H23" s="20"/>
      <c r="I23" s="20"/>
      <c r="J23" s="31"/>
      <c r="K23" s="31"/>
      <c r="L23" s="20"/>
      <c r="M23" s="36"/>
      <c r="N23" s="20"/>
      <c r="O23" s="20"/>
      <c r="P23" s="20"/>
      <c r="Q23" s="5"/>
      <c r="R23" s="5"/>
      <c r="S23" s="5"/>
      <c r="T23" s="5"/>
      <c r="U23" s="5"/>
      <c r="V23" s="5"/>
      <c r="W23" s="5"/>
      <c r="X23" s="5"/>
      <c r="Y23" s="5"/>
      <c r="Z23" s="5"/>
      <c r="AA23" s="5"/>
      <c r="AB23" s="5"/>
      <c r="AC23" s="5"/>
      <c r="AD23" s="5"/>
      <c r="AE23" s="5"/>
      <c r="XEU23" s="37"/>
    </row>
  </sheetData>
  <mergeCells count="4">
    <mergeCell ref="A1:L1"/>
    <mergeCell ref="A2:P2"/>
    <mergeCell ref="A21:P21"/>
    <mergeCell ref="A23:P23"/>
  </mergeCells>
  <dataValidations count="2">
    <dataValidation type="list" allowBlank="1" showInputMessage="1" showErrorMessage="1" sqref="C4 C5 C14 C15 C16 C19 C6:C8 C9:C13 C17:C18">
      <formula1>[1]问题类别配置!#REF!</formula1>
    </dataValidation>
    <dataValidation type="list" allowBlank="1" showInputMessage="1" showErrorMessage="1" sqref="D4 D5 D14 D15 D16 D19 D6:D8 D9:D13 D17:D18">
      <formula1>INDIRECT($C4)</formula1>
    </dataValidation>
  </dataValidations>
  <pageMargins left="0.751388888888889" right="0.751388888888889" top="1" bottom="1" header="0.5" footer="0.5"/>
  <pageSetup paperSize="9" scale="85" orientation="landscape" horizontalDpi="600"/>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医疗机构</vt:lpstr>
      <vt:lpstr>机构确认表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亢筝</dc:creator>
  <cp:lastModifiedBy>医保局</cp:lastModifiedBy>
  <dcterms:created xsi:type="dcterms:W3CDTF">2015-06-05T18:19:00Z</dcterms:created>
  <dcterms:modified xsi:type="dcterms:W3CDTF">2025-12-11T04:55:47Z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CD1645DFA05F4F97A0AB3B2D5E324C10_12</vt:lpwstr>
  </property>
  <property fmtid="{D5CDD505-2E9C-101B-9397-08002B2CF9AE}" pid="3" name="KSOProductBuildVer">
    <vt:lpwstr>2052-12.1.0.16250</vt:lpwstr>
  </property>
</Properties>
</file>