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743"/>
  </bookViews>
  <sheets>
    <sheet name="3.问题反馈表（医疗机构）" sheetId="6" r:id="rId1"/>
  </sheets>
  <definedNames>
    <definedName name="_xlnm._FilterDatabase" localSheetId="0" hidden="1">'3.问题反馈表（医疗机构）'!$A$4:$L$43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<sst xmlns="http://schemas.openxmlformats.org/spreadsheetml/2006/main" count="264" uniqueCount="144">
  <si>
    <r>
      <rPr>
        <sz val="12"/>
        <color theme="1"/>
        <rFont val="方正小标宋简体"/>
        <charset val="134"/>
      </rPr>
      <t>2025年“百日行动”省级交叉检查问题反馈表</t>
    </r>
    <r>
      <rPr>
        <sz val="12"/>
        <color rgb="FFFF0000"/>
        <rFont val="方正小标宋简体"/>
        <charset val="134"/>
      </rPr>
      <t>（定点医疗机构）</t>
    </r>
  </si>
  <si>
    <t>被检地： 荆州  市  江陵 县                                      检查时期范围:2023年１月-2025年6月          　　　　   　          检查时间：2025年11月13日至11月15日</t>
  </si>
  <si>
    <t>被检机构名称（盖章）：江陵县普济镇中心卫生院      　　　        统一社会信用代码：12421024676493079H　　　　　　　　　　　　       医疗机构等级：一级甲等</t>
  </si>
  <si>
    <t>序号</t>
  </si>
  <si>
    <t>问题类别       （一级指标）</t>
  </si>
  <si>
    <t>问题类别   （二级指标）</t>
  </si>
  <si>
    <t>问题项目</t>
  </si>
  <si>
    <t>违规科室</t>
  </si>
  <si>
    <t>问题情形描述</t>
  </si>
  <si>
    <t>问题
数量</t>
  </si>
  <si>
    <t>问题金额
（元）</t>
  </si>
  <si>
    <t>医保基金损失金额（元）（按荆州市医保局提供的综合比例67.56%计算）</t>
  </si>
  <si>
    <t>认定依据</t>
  </si>
  <si>
    <t>205条问题清单</t>
  </si>
  <si>
    <t>备注</t>
  </si>
  <si>
    <t>一般违规问题</t>
  </si>
  <si>
    <t>串换项目收费</t>
  </si>
  <si>
    <t>彩色多普勒超声常规检查（编码：220301001）</t>
  </si>
  <si>
    <t>心超室</t>
  </si>
  <si>
    <t>该院收取彩色多普勒超声常规检查费用，调取该院2023年1月至2025年6月彩超设备上储存报告及图片，显示仅11张彩色图文报告，其中7人次共计7张彩色图文报告参与医保结算，余下2645张为黑白B超，且均参与医保报销，属串换项目收费，将B超常规检查项目串换为彩色多普勒超声常规检查项目进行收费，应扣除收费差价。</t>
  </si>
  <si>
    <t>依据《荆州市医疗服务价格项目及医保支付目录（2023版）》，彩色多普勒超声常规检查应出超声计算机图文报告。</t>
  </si>
  <si>
    <t>/</t>
  </si>
  <si>
    <t>超声计算机图文报告（编码：220800008）</t>
  </si>
  <si>
    <t>该院收取超声计算机图文报告费用，属串换项目收费，将B超报告串换为彩超报告进行收费。B超报告不收费，超声计算机图文报告单价单价9元/张。</t>
  </si>
  <si>
    <t>依据《荆州市医疗服务价格项目及医保支付目录（2023版）》，超声计算机图文报告项目内涵：含计算机图文处理、储存及彩色图文报告；黑白不收费、心电图不收费。</t>
  </si>
  <si>
    <t>违反诊疗规范过度诊疗</t>
  </si>
  <si>
    <t>血清天门冬氨酸氨基转移酶测定（编码：250305008）</t>
  </si>
  <si>
    <t>住院部</t>
  </si>
  <si>
    <t>该院对同一患者同天开展血清天门冬氨酸氨基转移酶测定2次及以上，属不合理检查，第2次及以上费用应予扣除。</t>
  </si>
  <si>
    <t>依据临床诊疗指南和操作规范，血清天门冬氨酸氨基转移酶（AST）测定是一种常见的医学检查，主要用于评估肝脏和心脏等器官的功能状态，在正常情况下，除非有明确的医学指征，否则短期内重复多次测定是不必要的。</t>
  </si>
  <si>
    <t>141条</t>
  </si>
  <si>
    <t>三维重建（编码：210300001d）</t>
  </si>
  <si>
    <t>该院为部分患者开展CT检查，同时行三维重建检查，属不合理检查。（排除疾病诊断中含“泌尿系结石、外伤、积水、骨折”关键字段）</t>
  </si>
  <si>
    <t>依据临床诊疗指南和操作规范，三维重建主要针对“泌尿系结石、积水、骨折、外伤”患者开展检查。</t>
  </si>
  <si>
    <t>血清肌红蛋白测定（编码：250306010）</t>
  </si>
  <si>
    <t>该院为无疾病指征患者开具血清肌红蛋白测定，属不合理检查。（排除疾病诊断中含“心、肾、骨”关键字段）</t>
  </si>
  <si>
    <t>依据临床诊疗指南和操作规范，心梗三项检查的意义在于能够早期发现心肌缺血或心肌坏死的情况。</t>
  </si>
  <si>
    <t>124条</t>
  </si>
  <si>
    <t>血清肌酸激酶－MB同工酶质量测定（编码：250306003）</t>
  </si>
  <si>
    <t>该院为无疾病指征患者开具血清肌酸激酶－MB同工酶质量测定，属不合理检查。（排除疾病诊断中含“心、肾、骨”关键字段）</t>
  </si>
  <si>
    <t>血清肌钙蛋白Ⅰ测定（编码：250306009）</t>
  </si>
  <si>
    <t>该院为无疾病指征患者开具血清肌钙蛋白Ⅰ测定，属不合理检查。（排除疾病诊断中含“心、肾、骨”关键字段）</t>
  </si>
  <si>
    <t>各种白介素测定（编码：250401014）</t>
  </si>
  <si>
    <t>该院为无疾病指征患者开具各种白介素测定。（排除疾病诊断中含“感染、脓毒血症、风湿、关节炎、哮喘、肿瘤”关键字段）</t>
  </si>
  <si>
    <t>依据临床诊疗指南和操作规范，各种白介素测定主要针对“感染、脓毒血症、风湿、关节炎、哮喘、肿瘤”患者开展。</t>
  </si>
  <si>
    <t>138条</t>
  </si>
  <si>
    <t>血浆D-二聚体测定（编码：250203066）</t>
  </si>
  <si>
    <t>该院无疾病指征患者开具血浆D-二聚体测定。（排除疾病诊断中含有“出血、或栓塞、或血栓、或休克、或弥散性血管内凝血、或呼吸困难、或夹层、或胸闷、或胸痛”关键字段）</t>
  </si>
  <si>
    <t>依据临床诊疗指南和操作规范，血浆D-二聚体测定反应患者凝血功能情况，一般用于弥漫性血管内凝血、深静脉血栓、心脑血管疾病、肝脏疾病、恶性肿瘤、手术、溶栓治疗等指征监测。</t>
  </si>
  <si>
    <t>120条</t>
  </si>
  <si>
    <t>血同型半胱氨酸测定（编码：250306011）</t>
  </si>
  <si>
    <t>该院无疾病指征为患者开具血同型半胱氨酸测定。</t>
  </si>
  <si>
    <t>依据临床诊疗指南和操作规范，血同型半胱氨酸检查是一种评估机体营养状况、排查心脑血管疾病、辅助诊断肾脏疾病的检查方法。</t>
  </si>
  <si>
    <t>糖类抗原测定（编码：250404011）</t>
  </si>
  <si>
    <t>该院无疾病指征为患者开具糖类抗原测定。</t>
  </si>
  <si>
    <t>依据临床诊疗指南和操作规范，糖类抗原系肿瘤标志物。</t>
  </si>
  <si>
    <t>137条</t>
  </si>
  <si>
    <t>癌胚抗原测定(CEA)（编码：250404001）</t>
  </si>
  <si>
    <t>该院无疾病指征为患者开具癌胚抗原测定（CEA）。（排除疾病诊断中含有“卵巢”关键字段）</t>
  </si>
  <si>
    <t>依据临床诊疗指南和操作规范，癌胚抗原系肿瘤标志物。</t>
  </si>
  <si>
    <t>甲胎蛋白测定(AFP)（编码：250404002</t>
  </si>
  <si>
    <t>该院无疾病指征为患者开具甲胎蛋白测定(AFP)。（排除疾病诊断中含有肝或卵黄囊瘤或畸胎瘤”、产科关键字段）</t>
  </si>
  <si>
    <t>依据临床诊疗指南和操作规范，甲胎蛋白测定主要用于原发性肝癌及其他恶性肿瘤的辅助诊断。</t>
  </si>
  <si>
    <t>136条</t>
  </si>
  <si>
    <t>B型钠尿肽（BNP）测定（编码：250306012）</t>
  </si>
  <si>
    <t>该院为非心血管类疾病患者无指征开具B型钠尿肽（BNP）测定。</t>
  </si>
  <si>
    <t>依据临床诊疗指南和操作规范，B型钠尿肽（BNP）用于评估心脏疾病的风险及功能状态。</t>
  </si>
  <si>
    <t>超标准收费</t>
  </si>
  <si>
    <t>血清总蛋白（编码：250301001）</t>
  </si>
  <si>
    <t>该院同一患者同次住院期间有2次及以上血清总蛋白测定收费记录，经核实为手工上账时多上1次费用，多上部分应以予扣除。</t>
  </si>
  <si>
    <t>现场核查情况。</t>
  </si>
  <si>
    <t>140条</t>
  </si>
  <si>
    <t>单次多层CT平扫（编码：210300001c）</t>
  </si>
  <si>
    <t>该院为同一患者开展单次多层CT平扫时，未按照“每增加一个部位按第一个部位的50%收费”执行。</t>
  </si>
  <si>
    <t>依据《荆州市医疗服务价格项目及医保支付目录》，为同一患者开展单次多层CT平扫时，每增加一个部位检查按第一个部位的50%收费。</t>
  </si>
  <si>
    <t>106条</t>
  </si>
  <si>
    <t>腰椎间盘突出推拿治疗（编码：450000006）</t>
  </si>
  <si>
    <t>该院在为患者行腰椎间盘突出推拿治疗时，按“部位”进行收费，超出部分应以予扣除。</t>
  </si>
  <si>
    <t>依据《荆州市医疗服务价格项目及医保支付目录》，腰椎间盘突出推拿治疗应按“次”收费。</t>
  </si>
  <si>
    <t>颈椎病推拿治疗（编码：450000002）</t>
  </si>
  <si>
    <t>该院在为患者行颈椎病推拿治疗时，按“部位”进行收费，超出部分应以予扣除。</t>
  </si>
  <si>
    <t>依据《荆州市医疗服务价格项目及医保支付目录》，颈椎病推拿治疗应按“次”收费。</t>
  </si>
  <si>
    <t>肩周炎推拿治疗（编码：450000003</t>
  </si>
  <si>
    <t>该院在为患者行肩周炎推拿治疗时，按“部位”进行收费，超出部分应以予扣除。</t>
  </si>
  <si>
    <t>依据《荆州市医疗服务价格项目及医保支付目录》，肩周炎推拿治疗应按“次”收费。</t>
  </si>
  <si>
    <t>膝关节骨性关节炎推拿治疗（编码：450000007）</t>
  </si>
  <si>
    <t>该院在为患者行膝关节骨性关节炎推拿治疗时，按“部位”进行收费，超出部分应以予扣除。</t>
  </si>
  <si>
    <t>依据《荆州市医疗服务价格项目及医保支付目录》，膝关节骨性关节炎推拿治疗应按“次”收费。</t>
  </si>
  <si>
    <t>其他推拿治疗（编码：450000009）</t>
  </si>
  <si>
    <t>该院在为患者行其他推拿治疗时，按“部位”进行收费，超出部分应以予扣除。</t>
  </si>
  <si>
    <t>依据《荆州市医疗服务价格项目及医保支付目录》，其他推拿治疗应按“次”收费。</t>
  </si>
  <si>
    <t>推拿治疗（未注明推拿部位）</t>
  </si>
  <si>
    <t>该院在为患者行推拿治疗（未注明推拿部位）时，按“部位”进行收费，超出部分应以予扣除。</t>
  </si>
  <si>
    <t>依据《荆州市医疗服务价格项目及医保支付目录》，推拿治疗应按“次”收费。</t>
  </si>
  <si>
    <t>特大换药（编码：120600001）</t>
  </si>
  <si>
    <t>该院开展微创类手术时，收取不符合伤口标准的患者“特大换药”费用，属超标准收费.</t>
  </si>
  <si>
    <r>
      <rPr>
        <sz val="12"/>
        <rFont val="仿宋"/>
        <charset val="134"/>
      </rPr>
      <t>依据《荆州市医疗服务价格项目及医保支付目录》，特大换药伤口大小为：1.伤口长度8-10cm或伤口面积60-100cm</t>
    </r>
    <r>
      <rPr>
        <sz val="12"/>
        <rFont val="宋体"/>
        <charset val="134"/>
      </rPr>
      <t>²</t>
    </r>
    <r>
      <rPr>
        <sz val="12"/>
        <rFont val="仿宋"/>
        <charset val="134"/>
      </rPr>
      <t>;2.当伤口每长度超过10cm，伤口面积超过100 cm</t>
    </r>
    <r>
      <rPr>
        <sz val="12"/>
        <rFont val="宋体"/>
        <charset val="134"/>
      </rPr>
      <t>²</t>
    </r>
    <r>
      <rPr>
        <sz val="12"/>
        <rFont val="仿宋"/>
        <charset val="134"/>
      </rPr>
      <t>时，按增加1次收费;3.需要14*10cm大纱布5块，每增加一块纱布加收2元。</t>
    </r>
  </si>
  <si>
    <t>61条</t>
  </si>
  <si>
    <t>大换药（编码：120600002）</t>
  </si>
  <si>
    <t>该院开展微创类手术时，收取不符合伤口标准的患者“大换药”费用，属超标准收费。</t>
  </si>
  <si>
    <r>
      <rPr>
        <sz val="12"/>
        <rFont val="仿宋"/>
        <charset val="134"/>
      </rPr>
      <t>依据《荆州市医疗服务价格项目及医保支付目录》，大换药伤口大小为：伤口长度5-8cm或伤口面积30-60cm</t>
    </r>
    <r>
      <rPr>
        <sz val="12"/>
        <rFont val="宋体"/>
        <charset val="134"/>
      </rPr>
      <t>²</t>
    </r>
    <r>
      <rPr>
        <sz val="12"/>
        <rFont val="仿宋"/>
        <charset val="134"/>
      </rPr>
      <t>。</t>
    </r>
  </si>
  <si>
    <t>隔物灸法（编码：440000002）</t>
  </si>
  <si>
    <t>该院在为患者行隔物灸时，按“部位”进行收费，超出部分应以予扣除。</t>
  </si>
  <si>
    <t>依据《荆州市医疗服务价格项目及医保支付目录》，隔物灸法应按“次”收费。</t>
  </si>
  <si>
    <t>重复收费</t>
  </si>
  <si>
    <t>关节穿刺（编码：311300002）</t>
  </si>
  <si>
    <t>该院在同一患者同次就诊，收取关节腔灌注治疗费用，同时收取“关节穿刺”费用，“关节穿刺”属重复收费。</t>
  </si>
  <si>
    <t>依据《荆州市医疗服务价格项目及医保支付目录》，关节腔灌注治疗含关节穿刺。</t>
  </si>
  <si>
    <t>49条</t>
  </si>
  <si>
    <t>手法牵引复位术（编码：331523001）</t>
  </si>
  <si>
    <t>该院在同一患者同次就诊，收取骨折切开复位内固定术费用，同时收取“手法牵引复位术”费用，手法牵引复位术属重复收费。</t>
  </si>
  <si>
    <t>依据荆州市医疗服务价格项目及医保支付目录》，骨折切开复位内固定术含手法牵引复位术。</t>
  </si>
  <si>
    <t>45条</t>
  </si>
  <si>
    <t>气管插管术（编码：330100013）</t>
  </si>
  <si>
    <t>该院在同一患者同次就诊，收取全身麻醉费用，同时收取气管插管术费用，气管插管术属重复收费。</t>
  </si>
  <si>
    <t>依据荆州市医疗服务价格项目及医保支付目录》，全身麻醉项目内涵：含气管插管术(不含特殊方法气管插管术);包括吸入、静脉或静吸复合以及靶控输入。</t>
  </si>
  <si>
    <t>175条</t>
  </si>
  <si>
    <t>血清间接胆红素测定（编码：250305003）</t>
  </si>
  <si>
    <t>化验室</t>
  </si>
  <si>
    <t>该院为患者开展血清胆红素测定时，同时收取血清直接胆红素测定费用和血清间接胆红素测定费用，因血清间接胆红素结果属于计算值，不应另外收取费用，应以予扣除。</t>
  </si>
  <si>
    <t>依据《荆州市医疗服务价格项目及医保支付目录（2023版）》，血清总胆红素、直接胆红素、血清间接胆红素，已知其中两个数值，可直接计算出另一个数值，被计算得出的检测项目不应额外收费。</t>
  </si>
  <si>
    <t>其他（超出药品说明书适应症范围）</t>
  </si>
  <si>
    <t>注射用法莫替丁（编码：XA02BAF006B0010102092、XA02BAF006B003010102066）</t>
  </si>
  <si>
    <t>该院为无疾病指征为患者开具注射用法莫替丁，属超出药品说明书适应症范围。（排除疾病诊断中含有“出血、艾氏、脑血、头部外伤、衰竭、烧伤”关键字段）</t>
  </si>
  <si>
    <t>依据法莫替丁主药品说明书适应症，相关诊断应有消化道出血、卓-艾氏综合症、脑血管障碍、头部外伤、多器官衰竭、大面积烧伤。</t>
  </si>
  <si>
    <t>其他（无指征使用抗生素）</t>
  </si>
  <si>
    <t>注射用哌拉西林钠</t>
  </si>
  <si>
    <t>该院为疾病诊断中无感染的患者开具抗生素类药品，属无指征使用抗生素。（排除诊断中含有"感染、骨折、炎、单纯性淋病、脓、败血、菌血症、伤、咳嗽、肺、支气管、川崎病、哮喘、呼吸困难、肿、梗阻、结石、疝、腹痛、发热、关节、阑尾、疱疹、牙、惊厥、血尿、膀胱、胆、肾绞痛、瘘、咯血、嵌顿、呼吸道"关键字段）</t>
  </si>
  <si>
    <t>依据抗生素临床使用规定，主要用于有感染的患者。</t>
  </si>
  <si>
    <t>盐酸克林霉素注射液</t>
  </si>
  <si>
    <t>注射用头孢唑肟钠</t>
  </si>
  <si>
    <t>内部管理问题</t>
  </si>
  <si>
    <t>其他</t>
  </si>
  <si>
    <t>经阴道B超检查（编码：220202001）</t>
  </si>
  <si>
    <t>该院为男性患者行“腔内B超检查”，收费清单上账名称为“经阴道B超检查”。</t>
  </si>
  <si>
    <t>依据临床诊疗指南和操作规范，经阴道B超检查为女性特有检查项目。</t>
  </si>
  <si>
    <t>违反卫生管理政策</t>
  </si>
  <si>
    <t>影像人员资质问题</t>
  </si>
  <si>
    <t>该院2名影像操作人员未取得医师执业资格证书，仅能提供进修、培训结业证书。</t>
  </si>
  <si>
    <t>根据《医疗机构管理条例》和《医疗机构管理条例实施细则》，非卫生技术人员不得从事医疗卫生技术工作。</t>
  </si>
  <si>
    <t>合计</t>
  </si>
  <si>
    <t xml:space="preserve"> 被检机构负责人确认签字：           　　     检查组组长：　　　　　　    检查组主要成员：                        　　　　 　　　　 确认时间：2025年11月18日　　</t>
  </si>
  <si>
    <t>填表说明：
1.问题类别（一级指标）：选填“欺诈骗保问题/一般违规问题/内部管理问题”；
2.问题类别（二级指标）：问题类别（二级指标）：若一级指标选择“欺诈骗保问题”，则选填“诱导协助冒名就医/诱导协助虚假就医/提供虚假材料/虚开费用单据/伪造变造资料/虚构服务/以骗保为目的串换项目/其他(…需说明违规项目)”；若一级指标选择“一般违规问题”，则选填“分解住院/挂床住院/违反诊疗规范过度诊疗/重复收费/超标准收费/分解收费/串换项目/为倒卖药品提供便利/将不属于医保支付范围的纳入医保基金结算/违反DRG或DIP支付政策/其他”；若一级指标选择“内部管理问题”，则选填“制度规范/账目资料保管/数据传输/监管信息报告/信息公开/不合理提供医保外服务/拒绝检查/违反卫生管理政策/进销存不符/其他(…需说明违规项目)”；若填写以上未涵盖的其他问题类别，应自行定义项目填写；
3.问题项目：填写涉及认定为违规的具体医疗服务项目或药品、医用耗材名称；                                                                                                                 
4.违规科室：请检查人员根据检查情况归类，选择重症医学/肿瘤科/整形外科/眼科/血液科/胸外科/心内科/心外科/儿科/消化科/生殖医学/泌尿内科/泌尿外科/神经外科/神经内科/烧伤科/普通外科/皮肤科/内分泌科/麻醉科/药剂科/口腔科/康复医学/精神医学/健康管理/检验科/急诊/呼吸科/核医学/骨科/妇产科/风湿科/放射科/耳鼻喉科/传染科/超声科/病理科/变态反应/全科/老年科/疼痛科/罕见病，如确实无法对应的，可自定义；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5.问题情形描述：对具体问题情形进行描述，应表意完整、准确；　
6.问题数量：填写问题项目涉及最终认定的数量，单位可以是人次、计费次数等；
7.问题金额（元）：填写问题项目涉及最终认定的金额，精确到小数点后 2 位；
8.认定依据：填写问题项目涉及的认定依据，需注明文件标题及具体违反条款内容。                                                               　　　　　　　　　　　　　　　　　　　　　　　  9.此表红色字体部分为示例，主要展示问题描述方法，检查人员可根据检查情况参照示例撰写有关内容，问题情形描述应清晰准确。                                          　　　　　　　　　　　　　　　              10.备注：其他有必要提及的内容。</t>
  </si>
  <si>
    <t>（本文书一式二份，一份移交属地医疗保障行政部门，一份上交省医疗保障局归档。）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</si>
</sst>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方正小标宋简体"/>
      <charset val="134"/>
    </font>
    <font>
      <sz val="12"/>
      <name val="方正小标宋简体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2"/>
      <color theme="1"/>
      <name val="楷体"/>
      <charset val="134"/>
    </font>
    <font>
      <sz val="12"/>
      <name val="楷体"/>
      <charset val="134"/>
    </font>
    <font>
      <sz val="12"/>
      <color rgb="FFFF0000"/>
      <name val="仿宋"/>
      <charset val="134"/>
    </font>
    <font>
      <b/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FF0000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3"/>
  <sheetViews>
    <sheetView tabSelected="1" zoomScale="75" zoomScaleNormal="75" workbookViewId="0">
      <pane xSplit="1" ySplit="4" topLeftCell="B18" activePane="bottomRight" state="frozen"/>
      <selection/>
      <selection pane="topRight"/>
      <selection pane="bottomLeft"/>
      <selection pane="bottomRight" activeCell="I7" sqref="I7:I32"/>
    </sheetView>
  </sheetViews>
  <sheetFormatPr defaultColWidth="9" defaultRowHeight="14"/>
  <cols>
    <col min="2" max="2" width="16.1272727272727" style="2" customWidth="1"/>
    <col min="3" max="3" width="13" style="2" customWidth="1"/>
    <col min="4" max="4" width="21.0909090909091" style="2" customWidth="1"/>
    <col min="5" max="5" width="11.8727272727273" customWidth="1"/>
    <col min="6" max="6" width="46.2545454545455" style="2" customWidth="1"/>
    <col min="7" max="7" width="11.8727272727273" style="2" customWidth="1"/>
    <col min="8" max="8" width="15.2545454545455" style="3" customWidth="1"/>
    <col min="9" max="9" width="15.5" style="4" customWidth="1"/>
    <col min="10" max="10" width="35.6727272727273" style="4" customWidth="1"/>
    <col min="11" max="11" width="14.3727272727273" style="5" customWidth="1"/>
    <col min="12" max="12" width="10.5363636363636" customWidth="1"/>
  </cols>
  <sheetData>
    <row r="1" s="1" customFormat="1" ht="47.45" customHeight="1" spans="1:12">
      <c r="A1" s="6" t="s">
        <v>0</v>
      </c>
      <c r="B1" s="6"/>
      <c r="C1" s="6"/>
      <c r="D1" s="6"/>
      <c r="E1" s="6"/>
      <c r="F1" s="6"/>
      <c r="G1" s="6"/>
      <c r="H1" s="7"/>
      <c r="I1" s="8"/>
      <c r="J1" s="8"/>
      <c r="K1" s="8"/>
      <c r="L1" s="6"/>
    </row>
    <row r="2" s="1" customFormat="1" ht="30.95" customHeight="1" spans="1:12">
      <c r="A2" s="9" t="s">
        <v>1</v>
      </c>
      <c r="B2" s="10"/>
      <c r="C2" s="10"/>
      <c r="D2" s="10"/>
      <c r="E2" s="9"/>
      <c r="F2" s="10"/>
      <c r="G2" s="10"/>
      <c r="H2" s="11"/>
      <c r="I2" s="12"/>
      <c r="J2" s="12"/>
      <c r="K2" s="13"/>
      <c r="L2" s="9"/>
    </row>
    <row r="3" s="1" customFormat="1" ht="37.5" customHeight="1" spans="1:12">
      <c r="A3" s="9" t="s">
        <v>2</v>
      </c>
      <c r="B3" s="10"/>
      <c r="C3" s="10"/>
      <c r="D3" s="10"/>
      <c r="E3" s="9"/>
      <c r="F3" s="10"/>
      <c r="G3" s="10"/>
      <c r="H3" s="11"/>
      <c r="I3" s="12"/>
      <c r="J3" s="12"/>
      <c r="K3" s="13"/>
      <c r="L3" s="9"/>
    </row>
    <row r="4" s="1" customFormat="1" ht="95" customHeight="1" spans="1:12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4" t="s">
        <v>8</v>
      </c>
      <c r="G4" s="14" t="s">
        <v>9</v>
      </c>
      <c r="H4" s="15" t="s">
        <v>10</v>
      </c>
      <c r="I4" s="16" t="s">
        <v>11</v>
      </c>
      <c r="J4" s="16" t="s">
        <v>12</v>
      </c>
      <c r="K4" s="16" t="s">
        <v>13</v>
      </c>
      <c r="L4" s="14" t="s">
        <v>14</v>
      </c>
    </row>
    <row r="5" s="1" customFormat="1" ht="147" customHeight="1" spans="1:12">
      <c r="A5" s="17">
        <v>1</v>
      </c>
      <c r="B5" s="18" t="s">
        <v>15</v>
      </c>
      <c r="C5" s="18" t="s">
        <v>16</v>
      </c>
      <c r="D5" s="18" t="s">
        <v>17</v>
      </c>
      <c r="E5" s="18" t="s">
        <v>18</v>
      </c>
      <c r="F5" s="18" t="s">
        <v>19</v>
      </c>
      <c r="G5" s="18">
        <v>2645</v>
      </c>
      <c r="H5" s="19">
        <v>151778.5</v>
      </c>
      <c r="I5" s="20">
        <f>H5*0.6756</f>
        <v>102541.5546</v>
      </c>
      <c r="J5" s="18" t="s">
        <v>20</v>
      </c>
      <c r="K5" s="18" t="s">
        <v>21</v>
      </c>
      <c r="L5" s="17"/>
    </row>
    <row r="6" s="1" customFormat="1" ht="114" customHeight="1" spans="1:12">
      <c r="A6" s="17">
        <v>2</v>
      </c>
      <c r="B6" s="18" t="s">
        <v>15</v>
      </c>
      <c r="C6" s="18" t="s">
        <v>16</v>
      </c>
      <c r="D6" s="18" t="s">
        <v>22</v>
      </c>
      <c r="E6" s="18" t="s">
        <v>18</v>
      </c>
      <c r="F6" s="18" t="s">
        <v>23</v>
      </c>
      <c r="G6" s="18">
        <v>2801</v>
      </c>
      <c r="H6" s="19">
        <v>25209</v>
      </c>
      <c r="I6" s="20">
        <f t="shared" ref="I6:I39" si="0">H6*0.6756</f>
        <v>17031.2004</v>
      </c>
      <c r="J6" s="18" t="s">
        <v>24</v>
      </c>
      <c r="K6" s="18" t="s">
        <v>21</v>
      </c>
      <c r="L6" s="17"/>
    </row>
    <row r="7" s="1" customFormat="1" ht="117" customHeight="1" spans="1:12">
      <c r="A7" s="17">
        <v>3</v>
      </c>
      <c r="B7" s="18" t="s">
        <v>15</v>
      </c>
      <c r="C7" s="18" t="s">
        <v>25</v>
      </c>
      <c r="D7" s="18" t="s">
        <v>26</v>
      </c>
      <c r="E7" s="18" t="s">
        <v>27</v>
      </c>
      <c r="F7" s="18" t="s">
        <v>28</v>
      </c>
      <c r="G7" s="18">
        <v>2</v>
      </c>
      <c r="H7" s="19">
        <v>11</v>
      </c>
      <c r="I7" s="20">
        <f t="shared" si="0"/>
        <v>7.4316</v>
      </c>
      <c r="J7" s="18" t="s">
        <v>29</v>
      </c>
      <c r="K7" s="18" t="s">
        <v>30</v>
      </c>
      <c r="L7" s="17"/>
    </row>
    <row r="8" s="1" customFormat="1" ht="111" customHeight="1" spans="1:12">
      <c r="A8" s="17">
        <v>4</v>
      </c>
      <c r="B8" s="18" t="s">
        <v>15</v>
      </c>
      <c r="C8" s="18" t="s">
        <v>25</v>
      </c>
      <c r="D8" s="18" t="s">
        <v>31</v>
      </c>
      <c r="E8" s="18" t="s">
        <v>27</v>
      </c>
      <c r="F8" s="18" t="s">
        <v>32</v>
      </c>
      <c r="G8" s="18">
        <v>1357</v>
      </c>
      <c r="H8" s="19">
        <v>58351</v>
      </c>
      <c r="I8" s="20">
        <f t="shared" si="0"/>
        <v>39421.9356</v>
      </c>
      <c r="J8" s="18" t="s">
        <v>33</v>
      </c>
      <c r="K8" s="18" t="s">
        <v>21</v>
      </c>
      <c r="L8" s="21"/>
    </row>
    <row r="9" s="1" customFormat="1" ht="111" customHeight="1" spans="1:12">
      <c r="A9" s="17">
        <v>5</v>
      </c>
      <c r="B9" s="18" t="s">
        <v>15</v>
      </c>
      <c r="C9" s="18" t="s">
        <v>25</v>
      </c>
      <c r="D9" s="18" t="s">
        <v>34</v>
      </c>
      <c r="E9" s="18" t="s">
        <v>27</v>
      </c>
      <c r="F9" s="18" t="s">
        <v>35</v>
      </c>
      <c r="G9" s="18">
        <v>32</v>
      </c>
      <c r="H9" s="19">
        <v>2808</v>
      </c>
      <c r="I9" s="20">
        <f t="shared" si="0"/>
        <v>1897.0848</v>
      </c>
      <c r="J9" s="18" t="s">
        <v>36</v>
      </c>
      <c r="K9" s="18" t="s">
        <v>37</v>
      </c>
      <c r="L9" s="21"/>
    </row>
    <row r="10" s="1" customFormat="1" ht="111" customHeight="1" spans="1:12">
      <c r="A10" s="17">
        <v>6</v>
      </c>
      <c r="B10" s="18" t="s">
        <v>15</v>
      </c>
      <c r="C10" s="18" t="s">
        <v>25</v>
      </c>
      <c r="D10" s="18" t="s">
        <v>38</v>
      </c>
      <c r="E10" s="18" t="s">
        <v>27</v>
      </c>
      <c r="F10" s="18" t="s">
        <v>39</v>
      </c>
      <c r="G10" s="18">
        <v>44</v>
      </c>
      <c r="H10" s="19">
        <v>1740</v>
      </c>
      <c r="I10" s="20">
        <f t="shared" si="0"/>
        <v>1175.544</v>
      </c>
      <c r="J10" s="18" t="s">
        <v>36</v>
      </c>
      <c r="K10" s="18" t="s">
        <v>37</v>
      </c>
      <c r="L10" s="21"/>
    </row>
    <row r="11" s="1" customFormat="1" ht="111" customHeight="1" spans="1:12">
      <c r="A11" s="17">
        <v>7</v>
      </c>
      <c r="B11" s="18" t="s">
        <v>15</v>
      </c>
      <c r="C11" s="18" t="s">
        <v>25</v>
      </c>
      <c r="D11" s="18" t="s">
        <v>40</v>
      </c>
      <c r="E11" s="18" t="s">
        <v>27</v>
      </c>
      <c r="F11" s="18" t="s">
        <v>41</v>
      </c>
      <c r="G11" s="18">
        <v>32</v>
      </c>
      <c r="H11" s="19">
        <v>2808</v>
      </c>
      <c r="I11" s="20">
        <f t="shared" si="0"/>
        <v>1897.0848</v>
      </c>
      <c r="J11" s="18" t="s">
        <v>36</v>
      </c>
      <c r="K11" s="18" t="s">
        <v>37</v>
      </c>
      <c r="L11" s="21"/>
    </row>
    <row r="12" s="1" customFormat="1" ht="111" customHeight="1" spans="1:12">
      <c r="A12" s="17">
        <v>8</v>
      </c>
      <c r="B12" s="18" t="s">
        <v>15</v>
      </c>
      <c r="C12" s="18" t="s">
        <v>25</v>
      </c>
      <c r="D12" s="18" t="s">
        <v>42</v>
      </c>
      <c r="E12" s="18" t="s">
        <v>27</v>
      </c>
      <c r="F12" s="18" t="s">
        <v>43</v>
      </c>
      <c r="G12" s="18">
        <v>333</v>
      </c>
      <c r="H12" s="19">
        <v>22644</v>
      </c>
      <c r="I12" s="20">
        <f t="shared" si="0"/>
        <v>15298.2864</v>
      </c>
      <c r="J12" s="18" t="s">
        <v>44</v>
      </c>
      <c r="K12" s="18" t="s">
        <v>45</v>
      </c>
      <c r="L12" s="21"/>
    </row>
    <row r="13" s="1" customFormat="1" ht="111" customHeight="1" spans="1:12">
      <c r="A13" s="17">
        <v>9</v>
      </c>
      <c r="B13" s="18" t="s">
        <v>15</v>
      </c>
      <c r="C13" s="18" t="s">
        <v>25</v>
      </c>
      <c r="D13" s="18" t="s">
        <v>46</v>
      </c>
      <c r="E13" s="18" t="s">
        <v>27</v>
      </c>
      <c r="F13" s="18" t="s">
        <v>47</v>
      </c>
      <c r="G13" s="18">
        <v>79</v>
      </c>
      <c r="H13" s="19">
        <v>3491</v>
      </c>
      <c r="I13" s="20">
        <f t="shared" si="0"/>
        <v>2358.5196</v>
      </c>
      <c r="J13" s="18" t="s">
        <v>48</v>
      </c>
      <c r="K13" s="18" t="s">
        <v>49</v>
      </c>
      <c r="L13" s="21"/>
    </row>
    <row r="14" s="1" customFormat="1" ht="111" customHeight="1" spans="1:12">
      <c r="A14" s="17">
        <v>10</v>
      </c>
      <c r="B14" s="18" t="s">
        <v>15</v>
      </c>
      <c r="C14" s="18" t="s">
        <v>25</v>
      </c>
      <c r="D14" s="18" t="s">
        <v>50</v>
      </c>
      <c r="E14" s="18" t="s">
        <v>27</v>
      </c>
      <c r="F14" s="18" t="s">
        <v>51</v>
      </c>
      <c r="G14" s="18">
        <v>21</v>
      </c>
      <c r="H14" s="19">
        <v>1890</v>
      </c>
      <c r="I14" s="20">
        <f t="shared" si="0"/>
        <v>1276.884</v>
      </c>
      <c r="J14" s="18" t="s">
        <v>52</v>
      </c>
      <c r="K14" s="18" t="s">
        <v>21</v>
      </c>
      <c r="L14" s="21"/>
    </row>
    <row r="15" s="1" customFormat="1" ht="111" customHeight="1" spans="1:12">
      <c r="A15" s="17">
        <v>11</v>
      </c>
      <c r="B15" s="18" t="s">
        <v>15</v>
      </c>
      <c r="C15" s="18" t="s">
        <v>25</v>
      </c>
      <c r="D15" s="18" t="s">
        <v>53</v>
      </c>
      <c r="E15" s="18" t="s">
        <v>27</v>
      </c>
      <c r="F15" s="18" t="s">
        <v>54</v>
      </c>
      <c r="G15" s="18">
        <v>48</v>
      </c>
      <c r="H15" s="19">
        <v>3024</v>
      </c>
      <c r="I15" s="20">
        <f t="shared" si="0"/>
        <v>2043.0144</v>
      </c>
      <c r="J15" s="18" t="s">
        <v>55</v>
      </c>
      <c r="K15" s="18" t="s">
        <v>56</v>
      </c>
      <c r="L15" s="21"/>
    </row>
    <row r="16" s="1" customFormat="1" ht="111" customHeight="1" spans="1:12">
      <c r="A16" s="17">
        <v>12</v>
      </c>
      <c r="B16" s="18" t="s">
        <v>15</v>
      </c>
      <c r="C16" s="18" t="s">
        <v>25</v>
      </c>
      <c r="D16" s="18" t="s">
        <v>57</v>
      </c>
      <c r="E16" s="18" t="s">
        <v>27</v>
      </c>
      <c r="F16" s="18" t="s">
        <v>58</v>
      </c>
      <c r="G16" s="18">
        <v>24</v>
      </c>
      <c r="H16" s="19">
        <v>1080</v>
      </c>
      <c r="I16" s="20">
        <f t="shared" si="0"/>
        <v>729.648</v>
      </c>
      <c r="J16" s="18" t="s">
        <v>59</v>
      </c>
      <c r="K16" s="18" t="s">
        <v>56</v>
      </c>
      <c r="L16" s="21"/>
    </row>
    <row r="17" s="1" customFormat="1" ht="111" customHeight="1" spans="1:12">
      <c r="A17" s="17">
        <v>13</v>
      </c>
      <c r="B17" s="18" t="s">
        <v>15</v>
      </c>
      <c r="C17" s="18" t="s">
        <v>25</v>
      </c>
      <c r="D17" s="18" t="s">
        <v>60</v>
      </c>
      <c r="E17" s="18" t="s">
        <v>27</v>
      </c>
      <c r="F17" s="18" t="s">
        <v>61</v>
      </c>
      <c r="G17" s="18">
        <v>23</v>
      </c>
      <c r="H17" s="19">
        <v>1054</v>
      </c>
      <c r="I17" s="20">
        <f t="shared" si="0"/>
        <v>712.0824</v>
      </c>
      <c r="J17" s="18" t="s">
        <v>62</v>
      </c>
      <c r="K17" s="18" t="s">
        <v>63</v>
      </c>
      <c r="L17" s="21"/>
    </row>
    <row r="18" s="1" customFormat="1" ht="111" customHeight="1" spans="1:12">
      <c r="A18" s="17">
        <v>14</v>
      </c>
      <c r="B18" s="18" t="s">
        <v>15</v>
      </c>
      <c r="C18" s="18" t="s">
        <v>25</v>
      </c>
      <c r="D18" s="18" t="s">
        <v>64</v>
      </c>
      <c r="E18" s="18" t="s">
        <v>27</v>
      </c>
      <c r="F18" s="18" t="s">
        <v>65</v>
      </c>
      <c r="G18" s="18">
        <v>23</v>
      </c>
      <c r="H18" s="19">
        <v>3243</v>
      </c>
      <c r="I18" s="20">
        <f t="shared" si="0"/>
        <v>2190.9708</v>
      </c>
      <c r="J18" s="18" t="s">
        <v>66</v>
      </c>
      <c r="K18" s="18" t="s">
        <v>21</v>
      </c>
      <c r="L18" s="21"/>
    </row>
    <row r="19" s="1" customFormat="1" ht="131.45" customHeight="1" spans="1:12">
      <c r="A19" s="17">
        <v>15</v>
      </c>
      <c r="B19" s="18" t="s">
        <v>15</v>
      </c>
      <c r="C19" s="18" t="s">
        <v>67</v>
      </c>
      <c r="D19" s="18" t="s">
        <v>68</v>
      </c>
      <c r="E19" s="18" t="s">
        <v>27</v>
      </c>
      <c r="F19" s="18" t="s">
        <v>69</v>
      </c>
      <c r="G19" s="18">
        <v>4</v>
      </c>
      <c r="H19" s="19">
        <v>18</v>
      </c>
      <c r="I19" s="20">
        <f t="shared" si="0"/>
        <v>12.1608</v>
      </c>
      <c r="J19" s="22" t="s">
        <v>70</v>
      </c>
      <c r="K19" s="18" t="s">
        <v>71</v>
      </c>
      <c r="L19" s="21"/>
    </row>
    <row r="20" s="1" customFormat="1" ht="131.45" customHeight="1" spans="1:12">
      <c r="A20" s="17">
        <v>16</v>
      </c>
      <c r="B20" s="18" t="s">
        <v>15</v>
      </c>
      <c r="C20" s="18" t="s">
        <v>67</v>
      </c>
      <c r="D20" s="18" t="s">
        <v>72</v>
      </c>
      <c r="E20" s="18" t="s">
        <v>27</v>
      </c>
      <c r="F20" s="18" t="s">
        <v>73</v>
      </c>
      <c r="G20" s="18">
        <v>74</v>
      </c>
      <c r="H20" s="19">
        <v>2825</v>
      </c>
      <c r="I20" s="20">
        <f t="shared" si="0"/>
        <v>1908.57</v>
      </c>
      <c r="J20" s="22" t="s">
        <v>74</v>
      </c>
      <c r="K20" s="18" t="s">
        <v>75</v>
      </c>
      <c r="L20" s="21"/>
    </row>
    <row r="21" s="1" customFormat="1" ht="109" customHeight="1" spans="1:12">
      <c r="A21" s="17">
        <v>17</v>
      </c>
      <c r="B21" s="18" t="s">
        <v>15</v>
      </c>
      <c r="C21" s="18" t="s">
        <v>67</v>
      </c>
      <c r="D21" s="18" t="s">
        <v>76</v>
      </c>
      <c r="E21" s="18" t="s">
        <v>27</v>
      </c>
      <c r="F21" s="18" t="s">
        <v>77</v>
      </c>
      <c r="G21" s="18">
        <v>8</v>
      </c>
      <c r="H21" s="19">
        <v>328</v>
      </c>
      <c r="I21" s="20">
        <f t="shared" si="0"/>
        <v>221.5968</v>
      </c>
      <c r="J21" s="22" t="s">
        <v>78</v>
      </c>
      <c r="K21" s="18" t="s">
        <v>21</v>
      </c>
      <c r="L21" s="21"/>
    </row>
    <row r="22" s="1" customFormat="1" ht="131.45" customHeight="1" spans="1:12">
      <c r="A22" s="17">
        <v>18</v>
      </c>
      <c r="B22" s="18" t="s">
        <v>15</v>
      </c>
      <c r="C22" s="18" t="s">
        <v>67</v>
      </c>
      <c r="D22" s="18" t="s">
        <v>79</v>
      </c>
      <c r="E22" s="18" t="s">
        <v>27</v>
      </c>
      <c r="F22" s="18" t="s">
        <v>80</v>
      </c>
      <c r="G22" s="18">
        <v>1</v>
      </c>
      <c r="H22" s="19">
        <v>41</v>
      </c>
      <c r="I22" s="20">
        <f t="shared" si="0"/>
        <v>27.6996</v>
      </c>
      <c r="J22" s="22" t="s">
        <v>81</v>
      </c>
      <c r="K22" s="18" t="s">
        <v>21</v>
      </c>
      <c r="L22" s="21"/>
    </row>
    <row r="23" s="1" customFormat="1" ht="131.45" customHeight="1" spans="1:12">
      <c r="A23" s="17">
        <v>19</v>
      </c>
      <c r="B23" s="18" t="s">
        <v>15</v>
      </c>
      <c r="C23" s="18" t="s">
        <v>67</v>
      </c>
      <c r="D23" s="18" t="s">
        <v>82</v>
      </c>
      <c r="E23" s="18" t="s">
        <v>27</v>
      </c>
      <c r="F23" s="18" t="s">
        <v>83</v>
      </c>
      <c r="G23" s="18">
        <v>6</v>
      </c>
      <c r="H23" s="19">
        <v>162</v>
      </c>
      <c r="I23" s="20">
        <f t="shared" si="0"/>
        <v>109.4472</v>
      </c>
      <c r="J23" s="22" t="s">
        <v>84</v>
      </c>
      <c r="K23" s="18" t="s">
        <v>21</v>
      </c>
      <c r="L23" s="21"/>
    </row>
    <row r="24" s="1" customFormat="1" ht="131.45" customHeight="1" spans="1:12">
      <c r="A24" s="17">
        <v>20</v>
      </c>
      <c r="B24" s="18" t="s">
        <v>15</v>
      </c>
      <c r="C24" s="18" t="s">
        <v>67</v>
      </c>
      <c r="D24" s="18" t="s">
        <v>85</v>
      </c>
      <c r="E24" s="18" t="s">
        <v>27</v>
      </c>
      <c r="F24" s="18" t="s">
        <v>86</v>
      </c>
      <c r="G24" s="18">
        <v>19</v>
      </c>
      <c r="H24" s="19">
        <v>513</v>
      </c>
      <c r="I24" s="20">
        <f t="shared" si="0"/>
        <v>346.5828</v>
      </c>
      <c r="J24" s="22" t="s">
        <v>87</v>
      </c>
      <c r="K24" s="18" t="s">
        <v>21</v>
      </c>
      <c r="L24" s="21"/>
    </row>
    <row r="25" s="1" customFormat="1" ht="131.45" customHeight="1" spans="1:12">
      <c r="A25" s="17">
        <v>21</v>
      </c>
      <c r="B25" s="18" t="s">
        <v>15</v>
      </c>
      <c r="C25" s="18" t="s">
        <v>67</v>
      </c>
      <c r="D25" s="18" t="s">
        <v>88</v>
      </c>
      <c r="E25" s="18" t="s">
        <v>27</v>
      </c>
      <c r="F25" s="18" t="s">
        <v>89</v>
      </c>
      <c r="G25" s="18">
        <v>113</v>
      </c>
      <c r="H25" s="19">
        <v>2712</v>
      </c>
      <c r="I25" s="20">
        <f t="shared" si="0"/>
        <v>1832.2272</v>
      </c>
      <c r="J25" s="22" t="s">
        <v>90</v>
      </c>
      <c r="K25" s="18" t="s">
        <v>21</v>
      </c>
      <c r="L25" s="21"/>
    </row>
    <row r="26" s="1" customFormat="1" ht="65.25" customHeight="1" spans="1:12">
      <c r="A26" s="17">
        <v>22</v>
      </c>
      <c r="B26" s="18" t="s">
        <v>15</v>
      </c>
      <c r="C26" s="18" t="s">
        <v>67</v>
      </c>
      <c r="D26" s="18" t="s">
        <v>91</v>
      </c>
      <c r="E26" s="18" t="s">
        <v>27</v>
      </c>
      <c r="F26" s="18" t="s">
        <v>92</v>
      </c>
      <c r="G26" s="18">
        <v>356</v>
      </c>
      <c r="H26" s="19">
        <v>12222</v>
      </c>
      <c r="I26" s="20">
        <f t="shared" si="0"/>
        <v>8257.1832</v>
      </c>
      <c r="J26" s="22" t="s">
        <v>93</v>
      </c>
      <c r="K26" s="18" t="s">
        <v>21</v>
      </c>
      <c r="L26" s="23"/>
    </row>
    <row r="27" s="1" customFormat="1" ht="105" spans="1:12">
      <c r="A27" s="17">
        <v>23</v>
      </c>
      <c r="B27" s="18" t="s">
        <v>15</v>
      </c>
      <c r="C27" s="18" t="s">
        <v>67</v>
      </c>
      <c r="D27" s="18" t="s">
        <v>94</v>
      </c>
      <c r="E27" s="18" t="s">
        <v>27</v>
      </c>
      <c r="F27" s="18" t="s">
        <v>95</v>
      </c>
      <c r="G27" s="18">
        <v>2</v>
      </c>
      <c r="H27" s="19">
        <v>96</v>
      </c>
      <c r="I27" s="20">
        <f t="shared" si="0"/>
        <v>64.8576</v>
      </c>
      <c r="J27" s="22" t="s">
        <v>96</v>
      </c>
      <c r="K27" s="18" t="s">
        <v>97</v>
      </c>
      <c r="L27" s="23"/>
    </row>
    <row r="28" s="1" customFormat="1" ht="60" customHeight="1" spans="1:12">
      <c r="A28" s="17">
        <v>24</v>
      </c>
      <c r="B28" s="18" t="s">
        <v>15</v>
      </c>
      <c r="C28" s="18" t="s">
        <v>67</v>
      </c>
      <c r="D28" s="18" t="s">
        <v>98</v>
      </c>
      <c r="E28" s="18" t="s">
        <v>27</v>
      </c>
      <c r="F28" s="18" t="s">
        <v>99</v>
      </c>
      <c r="G28" s="18">
        <v>11</v>
      </c>
      <c r="H28" s="19">
        <v>319</v>
      </c>
      <c r="I28" s="20">
        <f t="shared" si="0"/>
        <v>215.5164</v>
      </c>
      <c r="J28" s="22" t="s">
        <v>100</v>
      </c>
      <c r="K28" s="18" t="s">
        <v>97</v>
      </c>
      <c r="L28" s="23"/>
    </row>
    <row r="29" s="1" customFormat="1" ht="60" customHeight="1" spans="1:12">
      <c r="A29" s="17">
        <v>25</v>
      </c>
      <c r="B29" s="18" t="s">
        <v>15</v>
      </c>
      <c r="C29" s="18" t="s">
        <v>67</v>
      </c>
      <c r="D29" s="18" t="s">
        <v>101</v>
      </c>
      <c r="E29" s="18" t="s">
        <v>27</v>
      </c>
      <c r="F29" s="18" t="s">
        <v>102</v>
      </c>
      <c r="G29" s="18">
        <v>1157</v>
      </c>
      <c r="H29" s="19">
        <v>23140</v>
      </c>
      <c r="I29" s="20">
        <f t="shared" si="0"/>
        <v>15633.384</v>
      </c>
      <c r="J29" s="22" t="s">
        <v>103</v>
      </c>
      <c r="K29" s="18" t="s">
        <v>21</v>
      </c>
      <c r="L29" s="23"/>
    </row>
    <row r="30" s="1" customFormat="1" ht="65.25" customHeight="1" spans="1:12">
      <c r="A30" s="17">
        <v>26</v>
      </c>
      <c r="B30" s="18" t="s">
        <v>15</v>
      </c>
      <c r="C30" s="18" t="s">
        <v>104</v>
      </c>
      <c r="D30" s="18" t="s">
        <v>105</v>
      </c>
      <c r="E30" s="18" t="s">
        <v>27</v>
      </c>
      <c r="F30" s="18" t="s">
        <v>106</v>
      </c>
      <c r="G30" s="18">
        <v>4</v>
      </c>
      <c r="H30" s="19">
        <v>196</v>
      </c>
      <c r="I30" s="20">
        <f t="shared" si="0"/>
        <v>132.4176</v>
      </c>
      <c r="J30" s="22" t="s">
        <v>107</v>
      </c>
      <c r="K30" s="18" t="s">
        <v>108</v>
      </c>
      <c r="L30" s="23"/>
    </row>
    <row r="31" s="1" customFormat="1" ht="60" customHeight="1" spans="1:12">
      <c r="A31" s="17">
        <v>27</v>
      </c>
      <c r="B31" s="18" t="s">
        <v>15</v>
      </c>
      <c r="C31" s="18" t="s">
        <v>104</v>
      </c>
      <c r="D31" s="18" t="s">
        <v>109</v>
      </c>
      <c r="E31" s="18" t="s">
        <v>27</v>
      </c>
      <c r="F31" s="18" t="s">
        <v>110</v>
      </c>
      <c r="G31" s="18">
        <v>6</v>
      </c>
      <c r="H31" s="19">
        <v>750</v>
      </c>
      <c r="I31" s="20">
        <f t="shared" si="0"/>
        <v>506.7</v>
      </c>
      <c r="J31" s="22" t="s">
        <v>111</v>
      </c>
      <c r="K31" s="18" t="s">
        <v>112</v>
      </c>
      <c r="L31" s="23"/>
    </row>
    <row r="32" s="1" customFormat="1" ht="97" customHeight="1" spans="1:12">
      <c r="A32" s="17">
        <v>28</v>
      </c>
      <c r="B32" s="18" t="s">
        <v>15</v>
      </c>
      <c r="C32" s="18" t="s">
        <v>104</v>
      </c>
      <c r="D32" s="18" t="s">
        <v>113</v>
      </c>
      <c r="E32" s="18" t="s">
        <v>27</v>
      </c>
      <c r="F32" s="18" t="s">
        <v>114</v>
      </c>
      <c r="G32" s="18">
        <v>1</v>
      </c>
      <c r="H32" s="19">
        <v>69</v>
      </c>
      <c r="I32" s="20">
        <f t="shared" si="0"/>
        <v>46.6164</v>
      </c>
      <c r="J32" s="22" t="s">
        <v>115</v>
      </c>
      <c r="K32" s="18" t="s">
        <v>116</v>
      </c>
      <c r="L32" s="23"/>
    </row>
    <row r="33" s="1" customFormat="1" ht="114" customHeight="1" spans="1:12">
      <c r="A33" s="17">
        <v>29</v>
      </c>
      <c r="B33" s="18" t="s">
        <v>15</v>
      </c>
      <c r="C33" s="18" t="s">
        <v>104</v>
      </c>
      <c r="D33" s="18" t="s">
        <v>117</v>
      </c>
      <c r="E33" s="18" t="s">
        <v>118</v>
      </c>
      <c r="F33" s="18" t="s">
        <v>119</v>
      </c>
      <c r="G33" s="18">
        <v>2420</v>
      </c>
      <c r="H33" s="19">
        <v>13310</v>
      </c>
      <c r="I33" s="20">
        <f t="shared" si="0"/>
        <v>8992.236</v>
      </c>
      <c r="J33" s="18" t="s">
        <v>120</v>
      </c>
      <c r="K33" s="18" t="s">
        <v>21</v>
      </c>
      <c r="L33" s="17"/>
    </row>
    <row r="34" s="1" customFormat="1" ht="111" customHeight="1" spans="1:12">
      <c r="A34" s="17">
        <v>30</v>
      </c>
      <c r="B34" s="18" t="s">
        <v>15</v>
      </c>
      <c r="C34" s="18" t="s">
        <v>121</v>
      </c>
      <c r="D34" s="18" t="s">
        <v>122</v>
      </c>
      <c r="E34" s="18" t="s">
        <v>27</v>
      </c>
      <c r="F34" s="18" t="s">
        <v>123</v>
      </c>
      <c r="G34" s="18">
        <v>5928</v>
      </c>
      <c r="H34" s="19">
        <v>149109.24</v>
      </c>
      <c r="I34" s="20">
        <f t="shared" si="0"/>
        <v>100738.202544</v>
      </c>
      <c r="J34" s="18" t="s">
        <v>124</v>
      </c>
      <c r="K34" s="18" t="s">
        <v>21</v>
      </c>
      <c r="L34" s="21"/>
    </row>
    <row r="35" s="1" customFormat="1" ht="135" customHeight="1" spans="1:12">
      <c r="A35" s="17">
        <v>31</v>
      </c>
      <c r="B35" s="18" t="s">
        <v>15</v>
      </c>
      <c r="C35" s="18" t="s">
        <v>125</v>
      </c>
      <c r="D35" s="18" t="s">
        <v>126</v>
      </c>
      <c r="E35" s="18" t="s">
        <v>27</v>
      </c>
      <c r="F35" s="18" t="s">
        <v>127</v>
      </c>
      <c r="G35" s="18">
        <v>446</v>
      </c>
      <c r="H35" s="19">
        <v>10525.6</v>
      </c>
      <c r="I35" s="20">
        <f t="shared" si="0"/>
        <v>7111.09536</v>
      </c>
      <c r="J35" s="22" t="s">
        <v>128</v>
      </c>
      <c r="K35" s="18" t="s">
        <v>21</v>
      </c>
      <c r="L35" s="23"/>
    </row>
    <row r="36" s="1" customFormat="1" ht="134" customHeight="1" spans="1:12">
      <c r="A36" s="17">
        <v>32</v>
      </c>
      <c r="B36" s="18" t="s">
        <v>15</v>
      </c>
      <c r="C36" s="18" t="s">
        <v>125</v>
      </c>
      <c r="D36" s="18" t="s">
        <v>129</v>
      </c>
      <c r="E36" s="18" t="s">
        <v>27</v>
      </c>
      <c r="F36" s="18" t="s">
        <v>127</v>
      </c>
      <c r="G36" s="18">
        <v>537</v>
      </c>
      <c r="H36" s="19">
        <v>4315.28</v>
      </c>
      <c r="I36" s="20">
        <f t="shared" si="0"/>
        <v>2915.403168</v>
      </c>
      <c r="J36" s="22" t="s">
        <v>128</v>
      </c>
      <c r="K36" s="18" t="s">
        <v>21</v>
      </c>
      <c r="L36" s="23"/>
    </row>
    <row r="37" s="1" customFormat="1" ht="127" customHeight="1" spans="1:12">
      <c r="A37" s="17">
        <v>33</v>
      </c>
      <c r="B37" s="18" t="s">
        <v>15</v>
      </c>
      <c r="C37" s="18" t="s">
        <v>125</v>
      </c>
      <c r="D37" s="18" t="s">
        <v>130</v>
      </c>
      <c r="E37" s="18" t="s">
        <v>27</v>
      </c>
      <c r="F37" s="18" t="s">
        <v>127</v>
      </c>
      <c r="G37" s="18">
        <v>1637</v>
      </c>
      <c r="H37" s="19">
        <v>23572.8</v>
      </c>
      <c r="I37" s="20">
        <f t="shared" si="0"/>
        <v>15925.78368</v>
      </c>
      <c r="J37" s="22" t="s">
        <v>128</v>
      </c>
      <c r="K37" s="18" t="s">
        <v>21</v>
      </c>
      <c r="L37" s="23"/>
    </row>
    <row r="38" s="1" customFormat="1" ht="60" customHeight="1" spans="1:12">
      <c r="A38" s="17">
        <v>34</v>
      </c>
      <c r="B38" s="18" t="s">
        <v>131</v>
      </c>
      <c r="C38" s="18" t="s">
        <v>132</v>
      </c>
      <c r="D38" s="18" t="s">
        <v>133</v>
      </c>
      <c r="E38" s="18" t="s">
        <v>27</v>
      </c>
      <c r="F38" s="18" t="s">
        <v>134</v>
      </c>
      <c r="G38" s="18">
        <v>12</v>
      </c>
      <c r="H38" s="19">
        <v>1428</v>
      </c>
      <c r="I38" s="20">
        <f t="shared" si="0"/>
        <v>964.7568</v>
      </c>
      <c r="J38" s="22" t="s">
        <v>135</v>
      </c>
      <c r="K38" s="18" t="s">
        <v>21</v>
      </c>
      <c r="L38" s="23"/>
    </row>
    <row r="39" s="1" customFormat="1" ht="65.25" customHeight="1" spans="1:12">
      <c r="A39" s="17">
        <v>35</v>
      </c>
      <c r="B39" s="18" t="s">
        <v>131</v>
      </c>
      <c r="C39" s="18" t="s">
        <v>136</v>
      </c>
      <c r="D39" s="18" t="s">
        <v>137</v>
      </c>
      <c r="E39" s="18" t="s">
        <v>18</v>
      </c>
      <c r="F39" s="18" t="s">
        <v>138</v>
      </c>
      <c r="G39" s="18">
        <v>0</v>
      </c>
      <c r="H39" s="19">
        <v>0</v>
      </c>
      <c r="I39" s="20">
        <f t="shared" si="0"/>
        <v>0</v>
      </c>
      <c r="J39" s="22" t="s">
        <v>139</v>
      </c>
      <c r="K39" s="18" t="s">
        <v>21</v>
      </c>
      <c r="L39" s="23"/>
    </row>
    <row r="40" s="1" customFormat="1" ht="71.25" customHeight="1" spans="1:12">
      <c r="A40" s="24" t="s">
        <v>140</v>
      </c>
      <c r="B40" s="25"/>
      <c r="C40" s="25"/>
      <c r="D40" s="25"/>
      <c r="E40" s="25"/>
      <c r="F40" s="25"/>
      <c r="G40" s="26"/>
      <c r="H40" s="19">
        <f>SUM(H5:H39)</f>
        <v>524783.42</v>
      </c>
      <c r="I40" s="27">
        <f>SUM(I5:I39)</f>
        <v>354543.678552</v>
      </c>
      <c r="J40" s="22"/>
      <c r="K40" s="18"/>
      <c r="L40" s="23"/>
    </row>
    <row r="41" ht="60.6" customHeight="1" spans="1:12">
      <c r="A41" s="28" t="s">
        <v>141</v>
      </c>
      <c r="B41" s="29"/>
      <c r="C41" s="29"/>
      <c r="D41" s="29"/>
      <c r="E41" s="28"/>
      <c r="F41" s="29"/>
      <c r="G41" s="29"/>
      <c r="H41" s="30"/>
      <c r="I41" s="31"/>
      <c r="J41" s="31"/>
      <c r="K41" s="32"/>
      <c r="L41" s="28"/>
    </row>
    <row r="42" ht="308.1" customHeight="1" spans="1:12">
      <c r="A42" s="33" t="s">
        <v>142</v>
      </c>
      <c r="B42" s="34"/>
      <c r="C42" s="34"/>
      <c r="D42" s="34"/>
      <c r="E42" s="33"/>
      <c r="F42" s="34"/>
      <c r="G42" s="34"/>
      <c r="H42" s="35"/>
      <c r="I42" s="36"/>
      <c r="J42" s="36"/>
      <c r="K42" s="37"/>
      <c r="L42" s="33"/>
    </row>
    <row r="43" ht="42.6" customHeight="1" spans="1:12">
      <c r="A43" s="33" t="s">
        <v>143</v>
      </c>
      <c r="B43" s="34"/>
      <c r="C43" s="34"/>
      <c r="D43" s="34"/>
      <c r="E43" s="33"/>
      <c r="F43" s="34"/>
      <c r="G43" s="34"/>
      <c r="H43" s="35"/>
      <c r="I43" s="36"/>
      <c r="J43" s="36"/>
      <c r="K43" s="37"/>
      <c r="L43" s="33"/>
    </row>
  </sheetData>
  <mergeCells count="7">
    <mergeCell ref="A1:L1"/>
    <mergeCell ref="A2:L2"/>
    <mergeCell ref="A3:L3"/>
    <mergeCell ref="A40:G40"/>
    <mergeCell ref="A41:L41"/>
    <mergeCell ref="A42:L42"/>
    <mergeCell ref="A43:L43"/>
  </mergeCells>
  <pageMargins left="0.699305555555556" right="0.699305555555556" top="0.75" bottom="0.75" header="0.3" footer="0.3"/>
  <pageSetup paperSize="9" scale="5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3.问题反馈表（医疗机构）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何龙</cp:lastModifiedBy>
  <dcterms:created xsi:type="dcterms:W3CDTF">2023-05-13T03:15:00Z</dcterms:created>
  <dcterms:modified xsi:type="dcterms:W3CDTF">2025-11-18T07:49:28Z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F22AEC74074E4874BAA21DDA0C320A9E_13</vt:lpwstr>
  </property>
</Properties>
</file>