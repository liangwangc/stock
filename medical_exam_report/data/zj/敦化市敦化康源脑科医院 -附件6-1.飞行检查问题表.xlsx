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308" tabRatio="738"/>
  </bookViews>
  <sheets>
    <sheet name="7.25 (打印) " sheetId="13" r:id="rId1"/>
    <sheet name="Sheet1" sheetId="6" r:id="rId2"/>
    <sheet name="Sheet2" sheetId="8" r:id="rId3"/>
  </sheets>
  <definedNames>
    <definedName name="_xlnm._FilterDatabase" localSheetId="0" hidden="1">'7.25 (打印) '!$A$4:$X$29</definedName>
    <definedName name="_xlnm.Print_Titles" localSheetId="0">'7.25 (打印) 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<sst xmlns="http://schemas.openxmlformats.org/spreadsheetml/2006/main" count="336" uniqueCount="136">
  <si>
    <t>飞行检查定点医疗机构问题表</t>
  </si>
  <si>
    <t>被检地：吉林省延边朝鲜族自治州敦化市                          检查时期范围:2023年１月-2024年12月          　　　　　　　　　　　   　　                 检查时间：2025年7月22日至7月24日</t>
  </si>
  <si>
    <t>被检机构名称（盖章）：敦化市敦化康源脑科医院                     统一社会信用代码：52222403MJY338053P             　　　　　　　　　　　　　               医疗机构等级：二级</t>
  </si>
  <si>
    <t>序号</t>
  </si>
  <si>
    <t>省（直辖市、自治区）</t>
  </si>
  <si>
    <t>地市</t>
  </si>
  <si>
    <t>被检机构名称</t>
  </si>
  <si>
    <t>医药机构经济类型</t>
  </si>
  <si>
    <t>医药机构级别</t>
  </si>
  <si>
    <t>问题类别
(一级指标)</t>
  </si>
  <si>
    <t>问题类别
(二级指标)</t>
  </si>
  <si>
    <t>科室</t>
  </si>
  <si>
    <t>问题项目</t>
  </si>
  <si>
    <t>问题情形描述
（定性描述）</t>
  </si>
  <si>
    <t>违规典型案例
（举例说明，至少5个）</t>
  </si>
  <si>
    <t>问题数量</t>
  </si>
  <si>
    <t>违规医药费用总额（元）</t>
  </si>
  <si>
    <t>违规使用医保基金(元)</t>
  </si>
  <si>
    <t>认定依据</t>
  </si>
  <si>
    <t>是否属于自查自纠清单内问题</t>
  </si>
  <si>
    <t>处理建议-医保部门</t>
  </si>
  <si>
    <t>处理建议-移交公安</t>
  </si>
  <si>
    <t>处理建议-移交卫健</t>
  </si>
  <si>
    <t>处理建议-移交市场</t>
  </si>
  <si>
    <t>处理建议-移交药监</t>
  </si>
  <si>
    <t>处理建议-移交纪检</t>
  </si>
  <si>
    <t>备注</t>
  </si>
  <si>
    <t>吉林省</t>
  </si>
  <si>
    <t>延边州</t>
  </si>
  <si>
    <t>敦化市敦化康源脑科医院</t>
  </si>
  <si>
    <t>社会办</t>
  </si>
  <si>
    <t>二级</t>
  </si>
  <si>
    <t>精神科</t>
  </si>
  <si>
    <t>行为矫正治疗（编码311503028）</t>
  </si>
  <si>
    <t>根据技术规范，行为矫正治疗每人耗时30-60分钟，医生一天工作8小时，单日开具最大数量为16次，超出16次部分属多计。调取2023-2024年数据，同一医生单日开具行为矫正治疗16次以上的部分，涉及102574次</t>
  </si>
  <si>
    <t>医生刘俊，2024年12月10日为44名患者开具1次行为矫正治疗，超出本人单日行行为矫正治疗最大量28次；王燕，2024年10月15日为52名患者开具1次行为矫正治疗，超出本人单日行行为矫正治疗最大量36次。通过现场检查发现科室护士单人在为患者做此项治疗，而且时长只有3-5分钟。</t>
  </si>
  <si>
    <t>根据《全国医疗服务项目技术规范（2023年版）》行为矫正治疗耗时30-60分钟</t>
  </si>
  <si>
    <t>否</t>
  </si>
  <si>
    <t>精神科C类量表测查(现状精神病症状检查(PSE))（编码311501003）</t>
  </si>
  <si>
    <t>根据技术规范，精神科C类量表测查(现状精神病症状检查(PSE))耗时1-2小时。医生一天工作8小时，单日最大开具8次，超出8次的属于多计。调取2023-2024年数据，同一医生单日精神科C类量表测查(现状精神病症状检查）8次以上的部分，涉及14341次。</t>
  </si>
  <si>
    <t>刘俊，2024-08-21为40名患者开具1次精神科C类量表测查(现状精神病症状检查(PSE))，有32次超出本人现状精神病症状检查单日最大治疗量；2024-06-28为38名患者开具1次精神科C类量表测查(现状精神病症状检查(PSE))，有30次超出本人单日现状精神病症状检查治疗最大量。</t>
  </si>
  <si>
    <t>根据《全国医疗服务项目技术规范（2023年版）》现状精神病症状检查(PSE)耗时1-2小时；根据《吉林省诊疗目录2022版》《吉林省诊疗目录2023版》精神科C类量表测查(现状精神病症状检查(PSE))（编码311501003）说明测查时间60分钟以上</t>
  </si>
  <si>
    <t>精神科A类量表测查(锥体外系副作用量表)（编码311501001）</t>
  </si>
  <si>
    <t>根据技术规范，精神科A类量表测查(锥体外系副作用量表)耗时0.5-1小时，医生一天工作8小时，单日最大开具16次，超出部分属多计。调取2023-2024年数据，同一医生单日精神科A类量表测查(锥体外系副作用量表)开具16次以上的部分，涉及3128次。</t>
  </si>
  <si>
    <t>医生刘俊，2024-08-21为40名患者开具1次精神科A类量表测查(锥体外系副作用量表)，有24次超出本人单日锥体外系副作用量表最大治疗量；刘锋，2024-06-28为38名患者开具1次锥体外系副作用量表，有22次超出本人单日锥体外系副作用量表最大治疗量</t>
  </si>
  <si>
    <t>根据《全国医疗服务项目技术规范（2023年版）》，锥体外系副作用量表耗时0.5-1小时。</t>
  </si>
  <si>
    <t>精神科A类量表测查(不自主运动评定量表)（编码311501001）</t>
  </si>
  <si>
    <t>根据技术规范，精神科A类量表测查(不自主运动评定量表)耗时0.5-1小时。医生一天工作8小时，单日最大开具16次，超出部分属多计。调取2023-2024年数据，同一医生单日精神科A类量表测查(不自主运动评定量表)开具16次以上的部分，涉及3238次。</t>
  </si>
  <si>
    <t>吕宝，2023-06-29为28人开具1次不自主运动评定量表，超出单日最大治疗量12次；康明花，2024-05-28为20人开具1次不自主运动评定量表，超出单日最大治疗量14次。</t>
  </si>
  <si>
    <t>根据《全国医疗服务项目技术规范（2023年版）》，不自主运动评定量表耗时0.5-1小时</t>
  </si>
  <si>
    <t>瞬时记忆测验（编码311501001）</t>
  </si>
  <si>
    <t>根据技术规范，瞬时记忆测验耗时15-30分钟，医生一天工作8小时，单日最大开具32次，超出部分属多计。调取2023-2024年数据，同一医生单日瞬时记忆测验开具32次以上的部分，涉及1356次。</t>
  </si>
  <si>
    <t>医生刘俊，2024-08-21为40名患者开具1次瞬时记忆测验，有8次超出本人单日瞬时记忆测验最大量；崔英姬，2024-01-18为44患者开具1次瞬时记忆测验，有12次超出本人单日瞬时记忆测验最大量；</t>
  </si>
  <si>
    <t>根据《全国医疗服务项目技术规范（2023年版）》，瞬时记忆测验耗时15-30分钟</t>
  </si>
  <si>
    <t>一般违规问题</t>
  </si>
  <si>
    <t>串换项目</t>
  </si>
  <si>
    <t>检验科</t>
  </si>
  <si>
    <t>钙测定（编码250304004）</t>
  </si>
  <si>
    <t>钙测定报告单为比色法，清单收取离子选择电极法，《吉林省医疗服务项目目录》中无钙测定比色法收费标准。调取2023年2月1日至2024年12月31日期间数据，收取钙测定4636次。</t>
  </si>
  <si>
    <t>住院号2300534、2300536、2300104、2300411、2400026，钙测定报告单均为比色法，清单收取离子选择电极法</t>
  </si>
  <si>
    <t>根据《吉林省医疗服务项目目录》，钙测定（编码250304004）说明：干化学法、火焰分光光度法、离子选择电极法、酶促动力学法、滴定法、电感耦合等离子体质谱法</t>
  </si>
  <si>
    <t>重复收费</t>
  </si>
  <si>
    <t>根据诊疗规范，行为观察治疗，含暴露治疗、行为矫正治疗。调取2023-2024年数据，同一患者单日收取行为观察和治疗，同时又收行为矫正治疗，行为矫正治疗属重复收费，涉及6520次。</t>
  </si>
  <si>
    <t>住院号2300501、2300342、2300383、2300632，在行为观察和治疗同时，开展行为矫正治疗</t>
  </si>
  <si>
    <t>根据《全国医疗服务项目技术规范（2023年版）》，行为观察治疗，含暴露治疗、行为矫正治疗。</t>
  </si>
  <si>
    <t>违反诊疗规范过度诊疗</t>
  </si>
  <si>
    <t>骨密度测定（编码230200055）</t>
  </si>
  <si>
    <t>该院2023-2024年出院2684人次，住院做骨密度测定2209人次，占比82.3%，该院将骨密度测定作为常规检测。调取2023-2024年数据，单次住院期间做骨密度测定，排除有葡萄糖酸钙注射液、碳酸钙D3片、依降钙素注射液收费的，涉及过度诊疗1191次</t>
  </si>
  <si>
    <t>住院号2300144、2300141、2300085，入院均查骨密度测定6次，无骨质疏松诊断，无补钙治疗。</t>
  </si>
  <si>
    <t>根据《中国老年骨质疏松症诊疗指南（2023）》推荐意见4：应定期进行骨质疏松风险评估、骨密度检测，及早发现骨质疏松。一旦确诊骨质疏松症，应在医务人员指导下规范、积极治疗。</t>
  </si>
  <si>
    <t>血清胆碱脂酶测定（编码250305014）</t>
  </si>
  <si>
    <t>无指征行血清胆碱脂酶测定，与肝功能打包检查。2023-2024年，收取血清丙氨酸氨基转移酶测定（肝功能核心检测项目），同时又收血清胆碱脂酶测定，涉及血清胆碱脂酶测定过度检查4018次</t>
  </si>
  <si>
    <t>住院号2300516、2300752、2300757、2300652、</t>
  </si>
  <si>
    <t>《全国临床检验操作规程第四版》【临床意义】血清CHE测定主要用于肝功能评价，也用于农药中毒诊断及手术用肌松药响应预测等。血清CHE是肝脏合成功能的灵敏指标，各种慢性肝脏疾病时多见血清CHE降低。有机磷等农药中毒时血清CHE明显降低。血清CHE活性过低者(遗传等因素)手术时慎用琥珀酰胆碱等肌松药。</t>
  </si>
  <si>
    <t>乙型肝炎核心抗体测定、乙型肝炎表面抗体测定、乙型肝炎e抗原测定、乙型肝炎e抗体测定</t>
  </si>
  <si>
    <t>患者入院做乙型肝炎表面抗原测定(HBsAg)，无指征同时又做乙型肝炎核心抗体测定82次，金额3952元，乙型肝炎表面抗体测定82次金额3280元；乙型肝炎e抗原测定419次金额16760元，乙型肝炎e抗体测定82次金额3280元。</t>
  </si>
  <si>
    <t>住院号2300766、2300767、2300765、2400112、2300786</t>
  </si>
  <si>
    <t>根据《慢性乙型肝炎防治指南（2022年版）》，对一般人群均应进行HBsAg筛查；</t>
  </si>
  <si>
    <t>违规医药费用已核减敦化市医疗保险经办中心已处理12581.72元。</t>
  </si>
  <si>
    <t>甲型肝炎抗体测定(Anti-HAV)（编码250403001）</t>
  </si>
  <si>
    <t>患者入院普查甲型肝炎抗体测定(Anti-HAV)。调取2023年2月1日至2024年12月31日数据，做甲型肝炎抗体测定277次</t>
  </si>
  <si>
    <t>住院号2300897、2400004、2300901、2300808、2300899</t>
  </si>
  <si>
    <t>根据《中华人民共和国传染病防治法》甲肝属于乙类传染病，要求“早发现、早报告、早隔离、早治疗”，但未强制规定所有住院患者必须接受甲肝筛查。筛查应基于流行病学史（如疫区接触、生食海鲜）或临床症状（如黄疸、乏力），而非无差别普查。</t>
  </si>
  <si>
    <t>违规医药费用已核减敦化市医疗保险经办中心已处理1056.52元。</t>
  </si>
  <si>
    <t>内部管理问题</t>
  </si>
  <si>
    <t>进销存不符</t>
  </si>
  <si>
    <t>阿普唑仑片、氨酚待因片（I）、复方氨基酸注射液（18AA）、硫酸阿托品注射液、维生素B2片、利巴韦林注射液、牛黄解毒片、右佐匹克隆片</t>
  </si>
  <si>
    <t>根据该院提供的药品进销存汇总表，发现部分药品实际库存大于账面库存</t>
  </si>
  <si>
    <t>阿普唑仑片，规格0.4mg×20片/盒，盘盈1600盒24000元；氨酚待因片（I），规格1片×20片/盒，盘盈800盒8800元；复方氨基酸注射液（18AA），规格12.5g×1瓶，盘盈4瓶48元；硫酸阿托品注射液，规格1ml:0.5mg
，盘盈50支197元；维生素B2片，规格5mg×100片/瓶，盘盈24瓶96元；利巴韦林注射液，规格100mg，盘盈1000支5400元；牛黄解毒片，规格0.27g×30片/盒，盘盈300盒1920元；右佐匹克隆片，规格3mg×7片/盒，盘盈40盒172元</t>
  </si>
  <si>
    <t>根据《延边州医疗保障定点医疗机构服务协议（2023版）》第六十一条 （三）、《延边州医疗保障定点医疗机构服务协议（2024版）》第七十一条（十七）购销存台账不能做到账账相符、账实相符的。</t>
  </si>
  <si>
    <t>吲达帕胺片、注射用赖氨匹林、注射用阿奇霉素</t>
  </si>
  <si>
    <t>部分药品结算量大于出库数量。</t>
  </si>
  <si>
    <t>吲达帕胺片，规格2.5mg×1片，医保结算1095片，出库140片，超出955片金额267.4元；注射用赖氨匹林，规格0.9g×1支，医保结算1336支，出库701支，超出635支2489.2元；注射用阿奇霉素，规格0.25g×1支，医保结算158支，出库127支，超出31支275.9元</t>
  </si>
  <si>
    <t>违反卫生管理政策</t>
  </si>
  <si>
    <t>经颅磁刺激治疗（编码310100036(z)）</t>
  </si>
  <si>
    <t>无医师技师情况下，开展经颅磁刺激治疗</t>
  </si>
  <si>
    <t>2025年7月22日上午，在该院智养区现场查看，发现见习护士正在为患者做经颅磁刺激治疗，旁边无医生。</t>
  </si>
  <si>
    <t>/</t>
  </si>
  <si>
    <t>根据《全国医疗服务项目技术规范（2023年版）》，经颅磁刺激治疗，基本人力消耗为医1/技1。</t>
  </si>
  <si>
    <t>精神科智养区</t>
  </si>
  <si>
    <t>心电监测（编码310701022）</t>
  </si>
  <si>
    <t>心电监测无监测记录</t>
  </si>
  <si>
    <t>尹学沫，住院号2300189，2024.12.29-2025.7.22住院期间，清单收取心电监测1487次7435元，无监测记录</t>
  </si>
  <si>
    <t>根据《病历书写基本规范》第三条：病历书写应当客观、真实、准确、及时、完整、规范。《吉林省负面清单》诊疗服务部分第130条</t>
  </si>
  <si>
    <t>是</t>
  </si>
  <si>
    <t>财务管理不规范</t>
  </si>
  <si>
    <t>财务室</t>
  </si>
  <si>
    <t>费用报销不规范</t>
  </si>
  <si>
    <t>①部分差旅费报销单无日期；②原始凭证有涂改无签字，无说明；③无发票报销：2023年7月记85凭证市内出租车费用27元、市内公交车费用4000元；2024年5月记62号凭证市内出租车费用296元、市内公交车费用734元。</t>
  </si>
  <si>
    <t>转账、付款无附件</t>
  </si>
  <si>
    <t>2024年5月记75号凭证（5.8借高志芹周转金）附件无；2024年5月记77号凭证（5.8支付代收礼诚餐饮患者伙食费）附件无</t>
  </si>
  <si>
    <t>附件数与实际不符</t>
  </si>
  <si>
    <t>2023年7月记17号凭证附件数0，附1张附件；2023年7月记22号凭证附件数0，附收据、网上电子银行回单（3张）及6月工资表；2023年7月记35号凭证（7.13-7.19日出院患者补交医疗费）附件0，附13张附件；2024年5月记56号附件数1，无附件；2024年5月记57号附件数0，附1张附件；2024年5月记79号附件数0，附2张附件；2024年5月记86号附件数0，附1份附件。</t>
  </si>
  <si>
    <t>无指征行行为矫正治疗，未制定行为矫正计划</t>
  </si>
  <si>
    <t>1、住院号2300771，2023年12月28日至2024年12月29日住院367天，该患者长期住院患者，本次住院为年终结转，患者病情稳定，仍长期行行为矫正治疗，未按患者实际情况进行调整，行为矫正治疗266次8512元；
2、孔某，住院号2300745，2024年2月1日至2024年4月1日共60天，每天行行为矫正治疗1次，病历记录中未评估该患者总体情况、分析症状严重程度和缓急制定相应的行为矫正计划，涉及违规费用1920元。
3、刘某，住院号2300881，住院期间行行为矫正治疗97次，病程记录效果一般，仍持续做行为矫正治疗，涉及3104元</t>
  </si>
  <si>
    <t>根据《精神心理科医疗技术操作规范》行为矫正治疗疗程中，初期每周治疗1-2次，随着时间的推移，1-2周治疗1次，甚至间隔更久。</t>
  </si>
  <si>
    <t>疑点线索核查</t>
  </si>
  <si>
    <t>无指征行骨密度测定，骨密度测定异常后未行任何治疗措施</t>
  </si>
  <si>
    <t>1、孔某，住院号2300745，患者2024年2月4日病程描述：因双下肢腓肠肌不自主痉挛性抽搐，为了解病情做1次骨密度测定60元，无指征开展此项检查。2024年7月12日再次做1次骨密度测定，结果提示骨质疏松，未对此异常检查结果做任何治疗措施。涉及违规费用120元；
2、刘某，住院号2300881,2023年11月27日至2024年4月3日住院，住院期间骨密度测定2次，检查异常未行治疗处理，涉及120元。</t>
  </si>
  <si>
    <t>乙型肝炎表面抗体测定、e抗原测定</t>
  </si>
  <si>
    <t>无指征行乙型肝炎表面抗体测定、e抗原测定</t>
  </si>
  <si>
    <t>孔某，住院号2300745，2024年10月8日至2024年12月29日，入院做无指征检查乙型肝炎表面抗体测定（40元）、e抗原测定（40元），涉及违规费用80元。</t>
  </si>
  <si>
    <t>根据《中国传染病防治法》，要求“早发现、早报告、早隔离、早治疗”，但未强制规定所有住院患者必须接受筛查。筛查应基于流行病学史或临床症状，而非无差别普查。</t>
  </si>
  <si>
    <t>其他</t>
  </si>
  <si>
    <t>护士代签</t>
  </si>
  <si>
    <t>精神科监护治疗非治疗护士签字，存在代签情况。</t>
  </si>
  <si>
    <t>根据《病历书写基本规范》第三条：病历书写应当客观、真实、准确、及时、完整、规范。</t>
  </si>
  <si>
    <t>合计</t>
  </si>
  <si>
    <t xml:space="preserve">  被检机构负责人确认签字：           　　     检查组组长：　　　　　　                 检查组主要成员：                                                                            确认时间：2025年  月  日　　</t>
  </si>
  <si>
    <t>延边州医疗保障定点医疗机构服务协议（2023版）</t>
  </si>
  <si>
    <t>第六十一条</t>
  </si>
  <si>
    <t>乙方发生下列违约行为之一，甲方对乙方
作出不予支付、追回已支付的医保费用[按照上年度医疗保障统计报表全州平均全口径（含丙类）医保支付比例63.56%测算）等相应方式处理，并要求乙方按违约行为发生医保费用的30%支付违约金。</t>
  </si>
  <si>
    <t>延边州医疗保障定点医疗机构服务协议（2024版）</t>
  </si>
  <si>
    <t>第七十一条</t>
  </si>
  <si>
    <t>经查实，乙方有下列违约情形之一的，甲方不予支付或追回已支付的医保费用[按照上年度医疗保障统计报表全州全口径（含丙类）平均医保支付比例65.45%测算），并要求乙方按违约行为发生医保费用的30%支付违约金</t>
  </si>
  <si>
    <t>医保目录内基金支付比例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</si>
</sst>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等线"/>
      <charset val="134"/>
      <scheme val="minor"/>
    </font>
    <font>
      <sz val="11"/>
      <name val="方正小标宋简体"/>
      <charset val="134"/>
    </font>
    <font>
      <sz val="11"/>
      <name val="等线"/>
      <charset val="134"/>
      <scheme val="minor"/>
    </font>
    <font>
      <sz val="11"/>
      <name val="黑体"/>
      <charset val="134"/>
    </font>
    <font>
      <sz val="11"/>
      <name val="仿宋_GB2312"/>
      <charset val="134"/>
    </font>
    <font>
      <sz val="18"/>
      <name val="方正小标宋简体"/>
      <charset val="134"/>
    </font>
    <font>
      <sz val="1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/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DD60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X32"/>
  <sheetViews>
    <sheetView tabSelected="1" topLeftCell="D25" workbookViewId="0">
      <selection activeCell="L44" sqref="L44"/>
    </sheetView>
  </sheetViews>
  <sheetFormatPr defaultColWidth="9" defaultRowHeight="13.8"/>
  <cols>
    <col min="1" max="1" width="4.12962962962963" style="12" customWidth="1"/>
    <col min="2" max="2" width="9" style="12" customWidth="1"/>
    <col min="3" max="3" width="7.03703703703704" style="12" customWidth="1"/>
    <col min="4" max="4" width="9.15740740740741" style="12" customWidth="1"/>
    <col min="5" max="5" width="9" style="12" customWidth="1"/>
    <col min="6" max="6" width="6.90740740740741" style="12" customWidth="1"/>
    <col min="7" max="7" width="9.43518518518519" style="12" customWidth="1"/>
    <col min="8" max="8" width="9.56481481481481" style="12" customWidth="1"/>
    <col min="9" max="9" width="7.43518518518519" style="12" customWidth="1"/>
    <col min="10" max="10" width="10.7592592592593" style="12" customWidth="1"/>
    <col min="11" max="11" width="23.4722222222222" style="12" customWidth="1"/>
    <col min="12" max="12" width="22.9166666666667" style="13" customWidth="1"/>
    <col min="13" max="13" width="10.4166666666667" style="13" customWidth="1"/>
    <col min="14" max="15" width="13.3333333333333" style="13" customWidth="1"/>
    <col min="16" max="16" width="26.6666666666667" style="14" customWidth="1"/>
    <col min="17" max="17" width="9.9537037037037" style="15" customWidth="1"/>
    <col min="18" max="23" width="8.57407407407407" style="15" hidden="1" customWidth="1"/>
    <col min="24" max="24" width="9.22222222222222" style="12" customWidth="1"/>
    <col min="25" max="26" width="9" style="12"/>
    <col min="27" max="27" width="21.5833333333333" style="12" customWidth="1"/>
    <col min="28" max="16384" width="9" style="12"/>
  </cols>
  <sheetData>
    <row r="1" s="6" customFormat="1" ht="45" customHeight="1" spans="1:24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="7" customFormat="1" ht="19" customHeight="1" spans="1:24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="7" customFormat="1" ht="19" customHeight="1" spans="1:24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="8" customFormat="1" ht="62" customHeight="1" spans="1:24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8" t="s">
        <v>13</v>
      </c>
      <c r="L4" s="18" t="s">
        <v>14</v>
      </c>
      <c r="M4" s="18" t="s">
        <v>15</v>
      </c>
      <c r="N4" s="18" t="s">
        <v>16</v>
      </c>
      <c r="O4" s="18" t="s">
        <v>17</v>
      </c>
      <c r="P4" s="18" t="s">
        <v>18</v>
      </c>
      <c r="Q4" s="18" t="s">
        <v>19</v>
      </c>
      <c r="R4" s="18" t="s">
        <v>20</v>
      </c>
      <c r="S4" s="18" t="s">
        <v>21</v>
      </c>
      <c r="T4" s="18" t="s">
        <v>22</v>
      </c>
      <c r="U4" s="18" t="s">
        <v>23</v>
      </c>
      <c r="V4" s="18" t="s">
        <v>24</v>
      </c>
      <c r="W4" s="18" t="s">
        <v>25</v>
      </c>
      <c r="X4" s="18" t="s">
        <v>26</v>
      </c>
    </row>
    <row r="5" s="9" customFormat="1" ht="185" customHeight="1" spans="1:24">
      <c r="A5" s="19">
        <v>1</v>
      </c>
      <c r="B5" s="19" t="s">
        <v>27</v>
      </c>
      <c r="C5" s="19" t="s">
        <v>28</v>
      </c>
      <c r="D5" s="19" t="s">
        <v>29</v>
      </c>
      <c r="E5" s="19" t="s">
        <v>30</v>
      </c>
      <c r="F5" s="20" t="s">
        <v>31</v>
      </c>
      <c r="G5" s="19"/>
      <c r="H5" s="19"/>
      <c r="I5" s="19" t="s">
        <v>32</v>
      </c>
      <c r="J5" s="21" t="s">
        <v>33</v>
      </c>
      <c r="K5" s="21" t="s">
        <v>34</v>
      </c>
      <c r="L5" s="19" t="s">
        <v>35</v>
      </c>
      <c r="M5" s="19">
        <v>102574</v>
      </c>
      <c r="N5" s="26">
        <v>3285302</v>
      </c>
      <c r="O5" s="26">
        <v>1904489.6</v>
      </c>
      <c r="P5" s="21" t="s">
        <v>36</v>
      </c>
      <c r="Q5" s="19" t="s">
        <v>37</v>
      </c>
      <c r="R5" s="19"/>
      <c r="S5" s="19"/>
      <c r="T5" s="19"/>
      <c r="U5" s="19"/>
      <c r="V5" s="19"/>
      <c r="W5" s="19"/>
      <c r="X5" s="21"/>
    </row>
    <row r="6" s="9" customFormat="1" ht="193" customHeight="1" spans="1:24">
      <c r="A6" s="19">
        <v>2</v>
      </c>
      <c r="B6" s="19" t="s">
        <v>27</v>
      </c>
      <c r="C6" s="19" t="s">
        <v>28</v>
      </c>
      <c r="D6" s="19" t="s">
        <v>29</v>
      </c>
      <c r="E6" s="19" t="s">
        <v>30</v>
      </c>
      <c r="F6" s="20" t="s">
        <v>31</v>
      </c>
      <c r="G6" s="19"/>
      <c r="H6" s="19"/>
      <c r="I6" s="19" t="s">
        <v>32</v>
      </c>
      <c r="J6" s="21" t="s">
        <v>38</v>
      </c>
      <c r="K6" s="21" t="s">
        <v>39</v>
      </c>
      <c r="L6" s="19" t="s">
        <v>40</v>
      </c>
      <c r="M6" s="19">
        <v>14341</v>
      </c>
      <c r="N6" s="26">
        <v>1498165</v>
      </c>
      <c r="O6" s="26">
        <v>868486.3</v>
      </c>
      <c r="P6" s="21" t="s">
        <v>41</v>
      </c>
      <c r="Q6" s="19" t="s">
        <v>37</v>
      </c>
      <c r="R6" s="19"/>
      <c r="S6" s="19"/>
      <c r="T6" s="19"/>
      <c r="U6" s="19"/>
      <c r="V6" s="19"/>
      <c r="W6" s="19"/>
      <c r="X6" s="21"/>
    </row>
    <row r="7" s="9" customFormat="1" ht="189" customHeight="1" spans="1:24">
      <c r="A7" s="19">
        <v>3</v>
      </c>
      <c r="B7" s="19" t="s">
        <v>27</v>
      </c>
      <c r="C7" s="19" t="s">
        <v>28</v>
      </c>
      <c r="D7" s="19" t="s">
        <v>29</v>
      </c>
      <c r="E7" s="19" t="s">
        <v>30</v>
      </c>
      <c r="F7" s="20" t="s">
        <v>31</v>
      </c>
      <c r="G7" s="19"/>
      <c r="H7" s="19"/>
      <c r="I7" s="19" t="s">
        <v>32</v>
      </c>
      <c r="J7" s="21" t="s">
        <v>42</v>
      </c>
      <c r="K7" s="21" t="s">
        <v>43</v>
      </c>
      <c r="L7" s="19" t="s">
        <v>44</v>
      </c>
      <c r="M7" s="19">
        <v>3128</v>
      </c>
      <c r="N7" s="26">
        <v>81328</v>
      </c>
      <c r="O7" s="26">
        <v>47145.8</v>
      </c>
      <c r="P7" s="21" t="s">
        <v>45</v>
      </c>
      <c r="Q7" s="19" t="s">
        <v>37</v>
      </c>
      <c r="R7" s="19"/>
      <c r="S7" s="19"/>
      <c r="T7" s="19"/>
      <c r="U7" s="19"/>
      <c r="V7" s="19"/>
      <c r="W7" s="19"/>
      <c r="X7" s="21"/>
    </row>
    <row r="8" s="9" customFormat="1" ht="180" customHeight="1" spans="1:24">
      <c r="A8" s="19">
        <v>4</v>
      </c>
      <c r="B8" s="19" t="s">
        <v>27</v>
      </c>
      <c r="C8" s="19" t="s">
        <v>28</v>
      </c>
      <c r="D8" s="19" t="s">
        <v>29</v>
      </c>
      <c r="E8" s="19" t="s">
        <v>30</v>
      </c>
      <c r="F8" s="20" t="s">
        <v>31</v>
      </c>
      <c r="G8" s="19"/>
      <c r="H8" s="19"/>
      <c r="I8" s="19" t="s">
        <v>32</v>
      </c>
      <c r="J8" s="21" t="s">
        <v>46</v>
      </c>
      <c r="K8" s="21" t="s">
        <v>47</v>
      </c>
      <c r="L8" s="19" t="s">
        <v>48</v>
      </c>
      <c r="M8" s="19">
        <v>3238</v>
      </c>
      <c r="N8" s="26">
        <v>72944</v>
      </c>
      <c r="O8" s="26">
        <v>42285.6</v>
      </c>
      <c r="P8" s="21" t="s">
        <v>49</v>
      </c>
      <c r="Q8" s="19" t="s">
        <v>37</v>
      </c>
      <c r="R8" s="19"/>
      <c r="S8" s="19"/>
      <c r="T8" s="19"/>
      <c r="U8" s="19"/>
      <c r="V8" s="19"/>
      <c r="W8" s="19"/>
      <c r="X8" s="21"/>
    </row>
    <row r="9" s="9" customFormat="1" ht="135" customHeight="1" spans="1:24">
      <c r="A9" s="19">
        <v>5</v>
      </c>
      <c r="B9" s="19" t="s">
        <v>27</v>
      </c>
      <c r="C9" s="19" t="s">
        <v>28</v>
      </c>
      <c r="D9" s="19" t="s">
        <v>29</v>
      </c>
      <c r="E9" s="19" t="s">
        <v>30</v>
      </c>
      <c r="F9" s="20" t="s">
        <v>31</v>
      </c>
      <c r="G9" s="19"/>
      <c r="H9" s="19"/>
      <c r="I9" s="19" t="s">
        <v>32</v>
      </c>
      <c r="J9" s="21" t="s">
        <v>50</v>
      </c>
      <c r="K9" s="21" t="s">
        <v>51</v>
      </c>
      <c r="L9" s="19" t="s">
        <v>52</v>
      </c>
      <c r="M9" s="19">
        <v>1356</v>
      </c>
      <c r="N9" s="26">
        <v>71591</v>
      </c>
      <c r="O9" s="26">
        <v>41501.3</v>
      </c>
      <c r="P9" s="21" t="s">
        <v>53</v>
      </c>
      <c r="Q9" s="19" t="s">
        <v>37</v>
      </c>
      <c r="R9" s="19"/>
      <c r="S9" s="19"/>
      <c r="T9" s="19"/>
      <c r="U9" s="19"/>
      <c r="V9" s="19"/>
      <c r="W9" s="19"/>
      <c r="X9" s="21"/>
    </row>
    <row r="10" s="9" customFormat="1" ht="128" customHeight="1" spans="1:24">
      <c r="A10" s="19">
        <v>6</v>
      </c>
      <c r="B10" s="19" t="s">
        <v>27</v>
      </c>
      <c r="C10" s="19" t="s">
        <v>28</v>
      </c>
      <c r="D10" s="19" t="s">
        <v>29</v>
      </c>
      <c r="E10" s="19" t="s">
        <v>30</v>
      </c>
      <c r="F10" s="20" t="s">
        <v>31</v>
      </c>
      <c r="G10" s="19" t="s">
        <v>54</v>
      </c>
      <c r="H10" s="19" t="s">
        <v>55</v>
      </c>
      <c r="I10" s="19" t="s">
        <v>56</v>
      </c>
      <c r="J10" s="21" t="s">
        <v>57</v>
      </c>
      <c r="K10" s="21" t="s">
        <v>58</v>
      </c>
      <c r="L10" s="19" t="s">
        <v>59</v>
      </c>
      <c r="M10" s="19">
        <v>4636</v>
      </c>
      <c r="N10" s="26">
        <v>32452</v>
      </c>
      <c r="O10" s="26">
        <v>18812.4</v>
      </c>
      <c r="P10" s="21" t="s">
        <v>60</v>
      </c>
      <c r="Q10" s="19" t="s">
        <v>37</v>
      </c>
      <c r="R10" s="19"/>
      <c r="S10" s="19"/>
      <c r="T10" s="19"/>
      <c r="U10" s="19"/>
      <c r="V10" s="19"/>
      <c r="W10" s="19"/>
      <c r="X10" s="21"/>
    </row>
    <row r="11" s="9" customFormat="1" ht="136" customHeight="1" spans="1:24">
      <c r="A11" s="19">
        <v>7</v>
      </c>
      <c r="B11" s="19" t="s">
        <v>27</v>
      </c>
      <c r="C11" s="19" t="s">
        <v>28</v>
      </c>
      <c r="D11" s="19" t="s">
        <v>29</v>
      </c>
      <c r="E11" s="19" t="s">
        <v>30</v>
      </c>
      <c r="F11" s="20" t="s">
        <v>31</v>
      </c>
      <c r="G11" s="19" t="s">
        <v>54</v>
      </c>
      <c r="H11" s="19" t="s">
        <v>61</v>
      </c>
      <c r="I11" s="19" t="s">
        <v>32</v>
      </c>
      <c r="J11" s="21" t="s">
        <v>33</v>
      </c>
      <c r="K11" s="21" t="s">
        <v>62</v>
      </c>
      <c r="L11" s="19" t="s">
        <v>63</v>
      </c>
      <c r="M11" s="19">
        <v>6520</v>
      </c>
      <c r="N11" s="26">
        <v>206943</v>
      </c>
      <c r="O11" s="26">
        <v>119964.9</v>
      </c>
      <c r="P11" s="21" t="s">
        <v>64</v>
      </c>
      <c r="Q11" s="19" t="s">
        <v>37</v>
      </c>
      <c r="R11" s="19"/>
      <c r="S11" s="19"/>
      <c r="T11" s="19"/>
      <c r="U11" s="19"/>
      <c r="V11" s="19"/>
      <c r="W11" s="19"/>
      <c r="X11" s="21"/>
    </row>
    <row r="12" s="9" customFormat="1" ht="186" customHeight="1" spans="1:24">
      <c r="A12" s="19">
        <v>8</v>
      </c>
      <c r="B12" s="19" t="s">
        <v>27</v>
      </c>
      <c r="C12" s="19" t="s">
        <v>28</v>
      </c>
      <c r="D12" s="19" t="s">
        <v>29</v>
      </c>
      <c r="E12" s="19" t="s">
        <v>30</v>
      </c>
      <c r="F12" s="20" t="s">
        <v>31</v>
      </c>
      <c r="G12" s="19" t="s">
        <v>54</v>
      </c>
      <c r="H12" s="19" t="s">
        <v>65</v>
      </c>
      <c r="I12" s="19" t="s">
        <v>32</v>
      </c>
      <c r="J12" s="21" t="s">
        <v>66</v>
      </c>
      <c r="K12" s="21" t="s">
        <v>67</v>
      </c>
      <c r="L12" s="19" t="s">
        <v>68</v>
      </c>
      <c r="M12" s="19">
        <v>1191</v>
      </c>
      <c r="N12" s="26">
        <v>71460</v>
      </c>
      <c r="O12" s="26">
        <v>41425.4</v>
      </c>
      <c r="P12" s="21" t="s">
        <v>69</v>
      </c>
      <c r="Q12" s="19" t="s">
        <v>37</v>
      </c>
      <c r="R12" s="19"/>
      <c r="S12" s="19"/>
      <c r="T12" s="19"/>
      <c r="U12" s="19"/>
      <c r="V12" s="19"/>
      <c r="W12" s="19"/>
      <c r="X12" s="21"/>
    </row>
    <row r="13" s="9" customFormat="1" ht="183" customHeight="1" spans="1:24">
      <c r="A13" s="19">
        <v>9</v>
      </c>
      <c r="B13" s="19" t="s">
        <v>27</v>
      </c>
      <c r="C13" s="19" t="s">
        <v>28</v>
      </c>
      <c r="D13" s="19" t="s">
        <v>29</v>
      </c>
      <c r="E13" s="19" t="s">
        <v>30</v>
      </c>
      <c r="F13" s="20" t="s">
        <v>31</v>
      </c>
      <c r="G13" s="19" t="s">
        <v>54</v>
      </c>
      <c r="H13" s="19" t="s">
        <v>65</v>
      </c>
      <c r="I13" s="19" t="s">
        <v>56</v>
      </c>
      <c r="J13" s="21" t="s">
        <v>70</v>
      </c>
      <c r="K13" s="21" t="s">
        <v>71</v>
      </c>
      <c r="L13" s="19" t="s">
        <v>72</v>
      </c>
      <c r="M13" s="19">
        <v>4018</v>
      </c>
      <c r="N13" s="26">
        <v>40180</v>
      </c>
      <c r="O13" s="26">
        <v>23292.3</v>
      </c>
      <c r="P13" s="21" t="s">
        <v>73</v>
      </c>
      <c r="Q13" s="19" t="s">
        <v>37</v>
      </c>
      <c r="R13" s="19"/>
      <c r="S13" s="19"/>
      <c r="T13" s="19"/>
      <c r="U13" s="19"/>
      <c r="V13" s="19"/>
      <c r="W13" s="19"/>
      <c r="X13" s="21"/>
    </row>
    <row r="14" s="9" customFormat="1" ht="169" customHeight="1" spans="1:24">
      <c r="A14" s="19">
        <v>10</v>
      </c>
      <c r="B14" s="19" t="s">
        <v>27</v>
      </c>
      <c r="C14" s="19" t="s">
        <v>28</v>
      </c>
      <c r="D14" s="19" t="s">
        <v>29</v>
      </c>
      <c r="E14" s="19" t="s">
        <v>30</v>
      </c>
      <c r="F14" s="20" t="s">
        <v>31</v>
      </c>
      <c r="G14" s="19" t="s">
        <v>54</v>
      </c>
      <c r="H14" s="19" t="s">
        <v>65</v>
      </c>
      <c r="I14" s="19" t="s">
        <v>56</v>
      </c>
      <c r="J14" s="21" t="s">
        <v>74</v>
      </c>
      <c r="K14" s="21" t="s">
        <v>75</v>
      </c>
      <c r="L14" s="19" t="s">
        <v>76</v>
      </c>
      <c r="M14" s="19">
        <v>665</v>
      </c>
      <c r="N14" s="26">
        <v>14140.28</v>
      </c>
      <c r="O14" s="26">
        <v>8197.1</v>
      </c>
      <c r="P14" s="21" t="s">
        <v>77</v>
      </c>
      <c r="Q14" s="19" t="s">
        <v>37</v>
      </c>
      <c r="R14" s="19"/>
      <c r="S14" s="19"/>
      <c r="T14" s="19"/>
      <c r="U14" s="19"/>
      <c r="V14" s="19"/>
      <c r="W14" s="19"/>
      <c r="X14" s="21" t="s">
        <v>78</v>
      </c>
    </row>
    <row r="15" s="9" customFormat="1" ht="168" customHeight="1" spans="1:24">
      <c r="A15" s="19">
        <v>11</v>
      </c>
      <c r="B15" s="19" t="s">
        <v>27</v>
      </c>
      <c r="C15" s="19" t="s">
        <v>28</v>
      </c>
      <c r="D15" s="19" t="s">
        <v>29</v>
      </c>
      <c r="E15" s="19" t="s">
        <v>30</v>
      </c>
      <c r="F15" s="20" t="s">
        <v>31</v>
      </c>
      <c r="G15" s="19" t="s">
        <v>54</v>
      </c>
      <c r="H15" s="19" t="s">
        <v>65</v>
      </c>
      <c r="I15" s="19" t="s">
        <v>32</v>
      </c>
      <c r="J15" s="21" t="s">
        <v>79</v>
      </c>
      <c r="K15" s="21" t="s">
        <v>80</v>
      </c>
      <c r="L15" s="19" t="s">
        <v>81</v>
      </c>
      <c r="M15" s="19">
        <v>277</v>
      </c>
      <c r="N15" s="26">
        <v>8638.48</v>
      </c>
      <c r="O15" s="26">
        <v>5007.7</v>
      </c>
      <c r="P15" s="21" t="s">
        <v>82</v>
      </c>
      <c r="Q15" s="19" t="s">
        <v>37</v>
      </c>
      <c r="R15" s="19"/>
      <c r="S15" s="19"/>
      <c r="T15" s="19"/>
      <c r="U15" s="19"/>
      <c r="V15" s="19"/>
      <c r="W15" s="19"/>
      <c r="X15" s="21" t="s">
        <v>83</v>
      </c>
    </row>
    <row r="16" s="9" customFormat="1" ht="297" customHeight="1" spans="1:24">
      <c r="A16" s="19">
        <v>12</v>
      </c>
      <c r="B16" s="19" t="s">
        <v>27</v>
      </c>
      <c r="C16" s="19" t="s">
        <v>28</v>
      </c>
      <c r="D16" s="19" t="s">
        <v>29</v>
      </c>
      <c r="E16" s="19" t="s">
        <v>30</v>
      </c>
      <c r="F16" s="20" t="s">
        <v>31</v>
      </c>
      <c r="G16" s="19" t="s">
        <v>84</v>
      </c>
      <c r="H16" s="19" t="s">
        <v>85</v>
      </c>
      <c r="I16" s="19" t="s">
        <v>32</v>
      </c>
      <c r="J16" s="21" t="s">
        <v>86</v>
      </c>
      <c r="K16" s="21" t="s">
        <v>87</v>
      </c>
      <c r="L16" s="19" t="s">
        <v>88</v>
      </c>
      <c r="M16" s="19">
        <v>3818</v>
      </c>
      <c r="N16" s="26">
        <v>40633</v>
      </c>
      <c r="O16" s="26">
        <v>23555</v>
      </c>
      <c r="P16" s="21" t="s">
        <v>89</v>
      </c>
      <c r="Q16" s="19" t="s">
        <v>37</v>
      </c>
      <c r="R16" s="19"/>
      <c r="S16" s="19"/>
      <c r="T16" s="19"/>
      <c r="U16" s="19"/>
      <c r="V16" s="19"/>
      <c r="W16" s="19"/>
      <c r="X16" s="21"/>
    </row>
    <row r="17" s="10" customFormat="1" ht="184" customHeight="1" spans="1:24">
      <c r="A17" s="19">
        <v>13</v>
      </c>
      <c r="B17" s="21" t="s">
        <v>27</v>
      </c>
      <c r="C17" s="21" t="s">
        <v>28</v>
      </c>
      <c r="D17" s="21" t="s">
        <v>29</v>
      </c>
      <c r="E17" s="21" t="s">
        <v>30</v>
      </c>
      <c r="F17" s="22" t="s">
        <v>31</v>
      </c>
      <c r="G17" s="21" t="s">
        <v>84</v>
      </c>
      <c r="H17" s="21" t="s">
        <v>85</v>
      </c>
      <c r="I17" s="19" t="s">
        <v>32</v>
      </c>
      <c r="J17" s="21" t="s">
        <v>90</v>
      </c>
      <c r="K17" s="21" t="s">
        <v>91</v>
      </c>
      <c r="L17" s="21" t="s">
        <v>92</v>
      </c>
      <c r="M17" s="27">
        <v>1621</v>
      </c>
      <c r="N17" s="28">
        <v>3032.5</v>
      </c>
      <c r="O17" s="26">
        <v>1757.9</v>
      </c>
      <c r="P17" s="21" t="s">
        <v>89</v>
      </c>
      <c r="Q17" s="19" t="s">
        <v>37</v>
      </c>
      <c r="R17" s="21"/>
      <c r="S17" s="21"/>
      <c r="T17" s="21"/>
      <c r="U17" s="21"/>
      <c r="V17" s="21"/>
      <c r="W17" s="21"/>
      <c r="X17" s="21"/>
    </row>
    <row r="18" s="9" customFormat="1" ht="112" customHeight="1" spans="1:24">
      <c r="A18" s="19">
        <v>14</v>
      </c>
      <c r="B18" s="19" t="s">
        <v>27</v>
      </c>
      <c r="C18" s="19" t="s">
        <v>28</v>
      </c>
      <c r="D18" s="19" t="s">
        <v>29</v>
      </c>
      <c r="E18" s="19" t="s">
        <v>30</v>
      </c>
      <c r="F18" s="20" t="s">
        <v>31</v>
      </c>
      <c r="G18" s="19" t="s">
        <v>84</v>
      </c>
      <c r="H18" s="19" t="s">
        <v>93</v>
      </c>
      <c r="I18" s="19" t="s">
        <v>32</v>
      </c>
      <c r="J18" s="21" t="s">
        <v>94</v>
      </c>
      <c r="K18" s="21" t="s">
        <v>95</v>
      </c>
      <c r="L18" s="19" t="s">
        <v>96</v>
      </c>
      <c r="M18" s="19" t="s">
        <v>97</v>
      </c>
      <c r="N18" s="26" t="s">
        <v>97</v>
      </c>
      <c r="O18" s="26" t="s">
        <v>97</v>
      </c>
      <c r="P18" s="21" t="s">
        <v>98</v>
      </c>
      <c r="Q18" s="19" t="s">
        <v>37</v>
      </c>
      <c r="R18" s="19"/>
      <c r="S18" s="19"/>
      <c r="T18" s="19"/>
      <c r="U18" s="19"/>
      <c r="V18" s="19"/>
      <c r="W18" s="19"/>
      <c r="X18" s="21"/>
    </row>
    <row r="19" s="9" customFormat="1" ht="104" customHeight="1" spans="1:24">
      <c r="A19" s="19">
        <v>15</v>
      </c>
      <c r="B19" s="19" t="s">
        <v>27</v>
      </c>
      <c r="C19" s="19" t="s">
        <v>28</v>
      </c>
      <c r="D19" s="19" t="s">
        <v>29</v>
      </c>
      <c r="E19" s="19" t="s">
        <v>30</v>
      </c>
      <c r="F19" s="20" t="s">
        <v>31</v>
      </c>
      <c r="G19" s="19" t="s">
        <v>84</v>
      </c>
      <c r="H19" s="19" t="s">
        <v>93</v>
      </c>
      <c r="I19" s="19" t="s">
        <v>99</v>
      </c>
      <c r="J19" s="21" t="s">
        <v>100</v>
      </c>
      <c r="K19" s="21" t="s">
        <v>101</v>
      </c>
      <c r="L19" s="19" t="s">
        <v>102</v>
      </c>
      <c r="M19" s="19" t="s">
        <v>97</v>
      </c>
      <c r="N19" s="26" t="s">
        <v>97</v>
      </c>
      <c r="O19" s="26" t="s">
        <v>97</v>
      </c>
      <c r="P19" s="21" t="s">
        <v>103</v>
      </c>
      <c r="Q19" s="19" t="s">
        <v>104</v>
      </c>
      <c r="R19" s="19"/>
      <c r="S19" s="19"/>
      <c r="T19" s="19"/>
      <c r="U19" s="19"/>
      <c r="V19" s="19"/>
      <c r="W19" s="19"/>
      <c r="X19" s="21"/>
    </row>
    <row r="20" s="9" customFormat="1" ht="148" customHeight="1" spans="1:24">
      <c r="A20" s="19">
        <v>16</v>
      </c>
      <c r="B20" s="19" t="s">
        <v>27</v>
      </c>
      <c r="C20" s="19" t="s">
        <v>28</v>
      </c>
      <c r="D20" s="19" t="s">
        <v>29</v>
      </c>
      <c r="E20" s="19" t="s">
        <v>30</v>
      </c>
      <c r="F20" s="20" t="s">
        <v>31</v>
      </c>
      <c r="G20" s="19" t="s">
        <v>84</v>
      </c>
      <c r="H20" s="19" t="s">
        <v>105</v>
      </c>
      <c r="I20" s="19" t="s">
        <v>106</v>
      </c>
      <c r="J20" s="19" t="s">
        <v>97</v>
      </c>
      <c r="K20" s="21" t="s">
        <v>107</v>
      </c>
      <c r="L20" s="19" t="s">
        <v>108</v>
      </c>
      <c r="M20" s="19" t="s">
        <v>97</v>
      </c>
      <c r="N20" s="26" t="s">
        <v>97</v>
      </c>
      <c r="O20" s="26" t="s">
        <v>97</v>
      </c>
      <c r="P20" s="21" t="s">
        <v>89</v>
      </c>
      <c r="Q20" s="19" t="s">
        <v>37</v>
      </c>
      <c r="R20" s="19"/>
      <c r="S20" s="19"/>
      <c r="T20" s="19"/>
      <c r="U20" s="19"/>
      <c r="V20" s="19"/>
      <c r="W20" s="19"/>
      <c r="X20" s="21"/>
    </row>
    <row r="21" s="9" customFormat="1" ht="120" customHeight="1" spans="1:24">
      <c r="A21" s="19">
        <v>17</v>
      </c>
      <c r="B21" s="19" t="s">
        <v>27</v>
      </c>
      <c r="C21" s="19" t="s">
        <v>28</v>
      </c>
      <c r="D21" s="19" t="s">
        <v>29</v>
      </c>
      <c r="E21" s="19" t="s">
        <v>30</v>
      </c>
      <c r="F21" s="20" t="s">
        <v>31</v>
      </c>
      <c r="G21" s="19" t="s">
        <v>84</v>
      </c>
      <c r="H21" s="19" t="s">
        <v>105</v>
      </c>
      <c r="I21" s="19" t="s">
        <v>106</v>
      </c>
      <c r="J21" s="19" t="s">
        <v>97</v>
      </c>
      <c r="K21" s="21" t="s">
        <v>109</v>
      </c>
      <c r="L21" s="19" t="s">
        <v>110</v>
      </c>
      <c r="M21" s="19" t="s">
        <v>97</v>
      </c>
      <c r="N21" s="26" t="s">
        <v>97</v>
      </c>
      <c r="O21" s="26" t="s">
        <v>97</v>
      </c>
      <c r="P21" s="21" t="s">
        <v>89</v>
      </c>
      <c r="Q21" s="19" t="s">
        <v>37</v>
      </c>
      <c r="R21" s="19"/>
      <c r="S21" s="19"/>
      <c r="T21" s="19"/>
      <c r="U21" s="19"/>
      <c r="V21" s="19"/>
      <c r="W21" s="19"/>
      <c r="X21" s="21"/>
    </row>
    <row r="22" s="9" customFormat="1" ht="222" customHeight="1" spans="1:24">
      <c r="A22" s="19">
        <v>18</v>
      </c>
      <c r="B22" s="19" t="s">
        <v>27</v>
      </c>
      <c r="C22" s="19" t="s">
        <v>28</v>
      </c>
      <c r="D22" s="19" t="s">
        <v>29</v>
      </c>
      <c r="E22" s="19" t="s">
        <v>30</v>
      </c>
      <c r="F22" s="20" t="s">
        <v>31</v>
      </c>
      <c r="G22" s="19" t="s">
        <v>84</v>
      </c>
      <c r="H22" s="19" t="s">
        <v>105</v>
      </c>
      <c r="I22" s="19" t="s">
        <v>106</v>
      </c>
      <c r="J22" s="19" t="s">
        <v>97</v>
      </c>
      <c r="K22" s="21" t="s">
        <v>111</v>
      </c>
      <c r="L22" s="19" t="s">
        <v>112</v>
      </c>
      <c r="M22" s="19" t="s">
        <v>97</v>
      </c>
      <c r="N22" s="26" t="s">
        <v>97</v>
      </c>
      <c r="O22" s="26" t="s">
        <v>97</v>
      </c>
      <c r="P22" s="21" t="s">
        <v>89</v>
      </c>
      <c r="Q22" s="19" t="s">
        <v>37</v>
      </c>
      <c r="R22" s="19"/>
      <c r="S22" s="19"/>
      <c r="T22" s="19"/>
      <c r="U22" s="19"/>
      <c r="V22" s="19"/>
      <c r="W22" s="19"/>
      <c r="X22" s="21"/>
    </row>
    <row r="23" s="9" customFormat="1" ht="354" customHeight="1" spans="1:24">
      <c r="A23" s="19">
        <v>19</v>
      </c>
      <c r="B23" s="19" t="s">
        <v>27</v>
      </c>
      <c r="C23" s="19" t="s">
        <v>28</v>
      </c>
      <c r="D23" s="19" t="s">
        <v>29</v>
      </c>
      <c r="E23" s="19" t="s">
        <v>30</v>
      </c>
      <c r="F23" s="20" t="s">
        <v>31</v>
      </c>
      <c r="G23" s="19" t="s">
        <v>54</v>
      </c>
      <c r="H23" s="19" t="s">
        <v>65</v>
      </c>
      <c r="I23" s="19" t="s">
        <v>32</v>
      </c>
      <c r="J23" s="21" t="s">
        <v>33</v>
      </c>
      <c r="K23" s="21" t="s">
        <v>113</v>
      </c>
      <c r="L23" s="19" t="s">
        <v>114</v>
      </c>
      <c r="M23" s="19">
        <v>3</v>
      </c>
      <c r="N23" s="26">
        <v>13536</v>
      </c>
      <c r="O23" s="26">
        <v>7846.8</v>
      </c>
      <c r="P23" s="21" t="s">
        <v>115</v>
      </c>
      <c r="Q23" s="19" t="s">
        <v>37</v>
      </c>
      <c r="R23" s="19"/>
      <c r="S23" s="19"/>
      <c r="T23" s="19"/>
      <c r="U23" s="19"/>
      <c r="V23" s="19"/>
      <c r="W23" s="19"/>
      <c r="X23" s="21" t="s">
        <v>116</v>
      </c>
    </row>
    <row r="24" s="9" customFormat="1" ht="276" customHeight="1" spans="1:24">
      <c r="A24" s="19">
        <v>20</v>
      </c>
      <c r="B24" s="19" t="s">
        <v>27</v>
      </c>
      <c r="C24" s="19" t="s">
        <v>28</v>
      </c>
      <c r="D24" s="19" t="s">
        <v>29</v>
      </c>
      <c r="E24" s="19" t="s">
        <v>30</v>
      </c>
      <c r="F24" s="20" t="s">
        <v>31</v>
      </c>
      <c r="G24" s="19" t="s">
        <v>54</v>
      </c>
      <c r="H24" s="19" t="s">
        <v>65</v>
      </c>
      <c r="I24" s="19" t="s">
        <v>32</v>
      </c>
      <c r="J24" s="21" t="s">
        <v>66</v>
      </c>
      <c r="K24" s="21" t="s">
        <v>117</v>
      </c>
      <c r="L24" s="19" t="s">
        <v>118</v>
      </c>
      <c r="M24" s="19">
        <v>2</v>
      </c>
      <c r="N24" s="26">
        <v>240</v>
      </c>
      <c r="O24" s="26">
        <v>139.1</v>
      </c>
      <c r="P24" s="21" t="s">
        <v>69</v>
      </c>
      <c r="Q24" s="19" t="s">
        <v>37</v>
      </c>
      <c r="R24" s="19"/>
      <c r="S24" s="19"/>
      <c r="T24" s="19"/>
      <c r="U24" s="19"/>
      <c r="V24" s="19"/>
      <c r="W24" s="19"/>
      <c r="X24" s="21" t="s">
        <v>116</v>
      </c>
    </row>
    <row r="25" s="9" customFormat="1" ht="131" customHeight="1" spans="1:24">
      <c r="A25" s="19">
        <v>21</v>
      </c>
      <c r="B25" s="19" t="s">
        <v>27</v>
      </c>
      <c r="C25" s="19" t="s">
        <v>28</v>
      </c>
      <c r="D25" s="19" t="s">
        <v>29</v>
      </c>
      <c r="E25" s="19" t="s">
        <v>30</v>
      </c>
      <c r="F25" s="20" t="s">
        <v>31</v>
      </c>
      <c r="G25" s="19" t="s">
        <v>54</v>
      </c>
      <c r="H25" s="19" t="s">
        <v>65</v>
      </c>
      <c r="I25" s="19" t="s">
        <v>32</v>
      </c>
      <c r="J25" s="21" t="s">
        <v>119</v>
      </c>
      <c r="K25" s="21" t="s">
        <v>120</v>
      </c>
      <c r="L25" s="19" t="s">
        <v>121</v>
      </c>
      <c r="M25" s="19">
        <v>1</v>
      </c>
      <c r="N25" s="26">
        <v>80</v>
      </c>
      <c r="O25" s="26">
        <v>46.4</v>
      </c>
      <c r="P25" s="21" t="s">
        <v>122</v>
      </c>
      <c r="Q25" s="19" t="s">
        <v>37</v>
      </c>
      <c r="R25" s="19"/>
      <c r="S25" s="19"/>
      <c r="T25" s="19"/>
      <c r="U25" s="19"/>
      <c r="V25" s="19"/>
      <c r="W25" s="19"/>
      <c r="X25" s="21" t="s">
        <v>116</v>
      </c>
    </row>
    <row r="26" s="9" customFormat="1" ht="77" customHeight="1" spans="1:24">
      <c r="A26" s="19">
        <v>22</v>
      </c>
      <c r="B26" s="23" t="s">
        <v>27</v>
      </c>
      <c r="C26" s="23" t="s">
        <v>28</v>
      </c>
      <c r="D26" s="23" t="s">
        <v>29</v>
      </c>
      <c r="E26" s="23" t="s">
        <v>30</v>
      </c>
      <c r="F26" s="24" t="s">
        <v>31</v>
      </c>
      <c r="G26" s="23" t="s">
        <v>84</v>
      </c>
      <c r="H26" s="23" t="s">
        <v>123</v>
      </c>
      <c r="I26" s="23" t="s">
        <v>32</v>
      </c>
      <c r="J26" s="23" t="s">
        <v>97</v>
      </c>
      <c r="K26" s="29" t="s">
        <v>124</v>
      </c>
      <c r="L26" s="29" t="s">
        <v>125</v>
      </c>
      <c r="M26" s="23" t="s">
        <v>97</v>
      </c>
      <c r="N26" s="30" t="s">
        <v>97</v>
      </c>
      <c r="O26" s="30" t="s">
        <v>97</v>
      </c>
      <c r="P26" s="29" t="s">
        <v>126</v>
      </c>
      <c r="Q26" s="19" t="s">
        <v>37</v>
      </c>
      <c r="R26" s="19"/>
      <c r="S26" s="19"/>
      <c r="T26" s="19"/>
      <c r="U26" s="19"/>
      <c r="V26" s="19"/>
      <c r="W26" s="19"/>
      <c r="X26" s="21" t="s">
        <v>116</v>
      </c>
    </row>
    <row r="27" s="9" customFormat="1" ht="52" customHeight="1" spans="1:24">
      <c r="A27" s="19" t="s">
        <v>127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6">
        <f>SUM(N5:N26)</f>
        <v>5440665.26</v>
      </c>
      <c r="O27" s="26">
        <f>SUM(O5:O26)</f>
        <v>3153953.6</v>
      </c>
      <c r="P27" s="21"/>
      <c r="Q27" s="19"/>
      <c r="R27" s="19"/>
      <c r="S27" s="19"/>
      <c r="T27" s="19"/>
      <c r="U27" s="19"/>
      <c r="V27" s="19"/>
      <c r="W27" s="19"/>
      <c r="X27" s="21"/>
    </row>
    <row r="28" s="11" customFormat="1" ht="45.75" customHeight="1" spans="1:24">
      <c r="A28" s="25" t="s">
        <v>128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32" spans="3:3">
      <c r="C32" s="14"/>
    </row>
  </sheetData>
  <autoFilter xmlns:etc="http://www.wps.cn/officeDocument/2017/etCustomData" ref="A4:X29" etc:filterBottomFollowUsedRange="0">
    <extLst/>
  </autoFilter>
  <mergeCells count="5">
    <mergeCell ref="A1:X1"/>
    <mergeCell ref="A2:X2"/>
    <mergeCell ref="A3:X3"/>
    <mergeCell ref="A27:M27"/>
    <mergeCell ref="A28:X28"/>
  </mergeCells>
  <pageMargins left="0.314583333333333" right="0.236111111111111" top="0.751388888888889" bottom="0.472222222222222" header="0.298611111111111" footer="0.298611111111111"/>
  <pageSetup paperSize="9" scale="65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7"/>
  <sheetViews>
    <sheetView workbookViewId="0">
      <selection activeCell="D10" sqref="D10"/>
    </sheetView>
  </sheetViews>
  <sheetFormatPr defaultColWidth="8.88888888888889" defaultRowHeight="13.8" outlineLevelRow="6" outlineLevelCol="5"/>
  <cols>
    <col min="2" max="2" width="45.2222222222222" customWidth="1"/>
    <col min="3" max="3" width="17.5555555555556" customWidth="1"/>
    <col min="4" max="4" width="41.7777777777778" customWidth="1"/>
  </cols>
  <sheetData>
    <row r="3" ht="124" customHeight="1" spans="2:6">
      <c r="B3" s="1" t="s">
        <v>129</v>
      </c>
      <c r="C3" s="1" t="s">
        <v>130</v>
      </c>
      <c r="D3" s="2" t="s">
        <v>131</v>
      </c>
      <c r="E3" s="3">
        <v>0.6356</v>
      </c>
      <c r="F3" s="4"/>
    </row>
    <row r="4" ht="86" customHeight="1" spans="2:6">
      <c r="B4" s="1" t="s">
        <v>132</v>
      </c>
      <c r="C4" s="1" t="s">
        <v>133</v>
      </c>
      <c r="D4" s="2" t="s">
        <v>134</v>
      </c>
      <c r="E4" s="3">
        <v>0.6545</v>
      </c>
      <c r="F4" s="4"/>
    </row>
    <row r="6" spans="3:4">
      <c r="C6" t="s">
        <v>135</v>
      </c>
      <c r="D6" s="5">
        <v>0.7414</v>
      </c>
    </row>
    <row r="7" spans="4:4">
      <c r="D7" s="5">
        <v>0.5797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D10"/>
  <sheetViews>
    <sheetView workbookViewId="0">
      <selection activeCell="I12" sqref="I12"/>
    </sheetView>
  </sheetViews>
  <sheetFormatPr defaultColWidth="8.88888888888889" defaultRowHeight="13.8" outlineLevelCol="3"/>
  <cols>
    <col min="4" max="4" width="9.66666666666667"/>
  </cols>
  <sheetData>
    <row r="4" spans="4:4">
      <c r="D4">
        <v>1098.32</v>
      </c>
    </row>
    <row r="5" spans="4:4">
      <c r="D5">
        <v>8006.37</v>
      </c>
    </row>
    <row r="6" spans="4:4">
      <c r="D6">
        <v>1056.52</v>
      </c>
    </row>
    <row r="7" spans="4:4">
      <c r="D7">
        <v>3582.05</v>
      </c>
    </row>
    <row r="8" spans="4:4">
      <c r="D8">
        <v>12581.72</v>
      </c>
    </row>
    <row r="9" spans="4:4">
      <c r="D9">
        <v>1311</v>
      </c>
    </row>
    <row r="10" spans="4:4">
      <c r="D10">
        <v>1063.99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7.25 (打印) 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亢筝</dc:creator>
  <cp:lastModifiedBy>不懂</cp:lastModifiedBy>
  <dcterms:created xsi:type="dcterms:W3CDTF">2015-06-05T18:19:00Z</dcterms:created>
  <dcterms:modified xsi:type="dcterms:W3CDTF">2025-07-25T01:12:50Z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118633D6A10D45CB8AC9EC4765C9387A_13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