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9.19" sheetId="13" r:id="rId1"/>
    <sheet name="Sheet1" sheetId="10" r:id="rId2"/>
  </sheets>
  <definedNames>
    <definedName name="_xlnm._FilterDatabase" localSheetId="0" hidden="1">'9.19'!$A$4:$L$45</definedName>
    <definedName name="_xlnm.Print_Titles" localSheetId="0">'9.19'!$1:$4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<sst xmlns="http://schemas.openxmlformats.org/spreadsheetml/2006/main" count="300" uniqueCount="145">
  <si>
    <t>襄阳市医保基金专项检查情况问题确认表</t>
  </si>
  <si>
    <t>被检地：襄阳市                            检查时期范围:2023年１月1日-2025年9月30日　　   　　              检查时间：2025年11月3日至11月4日</t>
  </si>
  <si>
    <t>被检机构名称（盖章）：襄阳市中心医院          统一社会信用代码：12420600420424344L             　　　　　　　　　医疗机构等级：三级</t>
  </si>
  <si>
    <t>序号</t>
  </si>
  <si>
    <r>
      <rPr>
        <sz val="11"/>
        <color theme="1"/>
        <rFont val="仿宋"/>
        <charset val="134"/>
      </rPr>
      <t xml:space="preserve">问题类别 </t>
    </r>
    <r>
      <rPr>
        <sz val="11"/>
        <color theme="1"/>
        <rFont val="仿宋"/>
        <charset val="134"/>
      </rPr>
      <t xml:space="preserve">     </t>
    </r>
    <r>
      <rPr>
        <sz val="11"/>
        <color theme="1"/>
        <rFont val="仿宋"/>
        <charset val="134"/>
      </rPr>
      <t xml:space="preserve"> （一级指标）</t>
    </r>
  </si>
  <si>
    <r>
      <rPr>
        <sz val="11"/>
        <color theme="1"/>
        <rFont val="仿宋"/>
        <charset val="134"/>
      </rPr>
      <t xml:space="preserve">问题类别 </t>
    </r>
    <r>
      <rPr>
        <sz val="11"/>
        <color theme="1"/>
        <rFont val="仿宋"/>
        <charset val="134"/>
      </rPr>
      <t xml:space="preserve">  </t>
    </r>
    <r>
      <rPr>
        <sz val="11"/>
        <color theme="1"/>
        <rFont val="仿宋"/>
        <charset val="134"/>
      </rPr>
      <t>（二级指标）</t>
    </r>
  </si>
  <si>
    <t>问题项目</t>
  </si>
  <si>
    <t>违规科室</t>
  </si>
  <si>
    <t>问题情形描述</t>
  </si>
  <si>
    <t>问题
数量</t>
  </si>
  <si>
    <t>问题
金额
（元）</t>
  </si>
  <si>
    <t>认定依据</t>
  </si>
  <si>
    <t>备注</t>
  </si>
  <si>
    <t>省清单序号</t>
  </si>
  <si>
    <t>一般违规问题</t>
  </si>
  <si>
    <t>重复收费</t>
  </si>
  <si>
    <t>上颌骨部分切除术（编码330605009）
下颌骨部分切除术（编码330605005）</t>
  </si>
  <si>
    <t>口腔科</t>
  </si>
  <si>
    <r>
      <rPr>
        <sz val="11"/>
        <color theme="1"/>
        <rFont val="仿宋"/>
        <charset val="134"/>
      </rPr>
      <t>颌骨囊肿等良性病变的治疗过程通常开展颌骨良性病变切除术，而上、下颌骨部分切除术可视为其在颌骨区域的具体实施方式之一</t>
    </r>
    <r>
      <rPr>
        <sz val="11"/>
        <color theme="1"/>
        <rFont val="Times New Roman"/>
        <charset val="134"/>
      </rPr>
      <t>‌</t>
    </r>
    <r>
      <rPr>
        <sz val="11"/>
        <color theme="1"/>
        <rFont val="宋体"/>
        <charset val="134"/>
      </rPr>
      <t>。</t>
    </r>
    <r>
      <rPr>
        <sz val="11"/>
        <color theme="1"/>
        <rFont val="仿宋"/>
        <charset val="134"/>
      </rPr>
      <t xml:space="preserve">
颌骨囊肿等良性病变行颌骨良性病变切除术的同时重复收取上、下颌骨部分切除术费用，共9次9398.4元。例：欧阳泽颖，住院号0001914770。</t>
    </r>
  </si>
  <si>
    <t>根据《襄阳市医疗服务项目价格手册2022版》《襄阳市医疗服务项目价格目录（2024版）》，颌骨良性病变切除术项目内涵：包括上、下颌骨骨髓炎、良性肿瘤、瘤样病变及各类囊肿的切除术(含刮治术)；不含松质骨或骨替代物的植入。
上颌骨部分切除术项目内涵：含牙槽突水平以内上颌骨及其邻近软组织区域性切除。
下颌骨部分切除术项目内涵：包括下颌骨方块及区段切除；不含颌骨缺损修复。</t>
  </si>
  <si>
    <t>下颌骨去骨皮质术（编码330607009）</t>
  </si>
  <si>
    <r>
      <rPr>
        <sz val="11"/>
        <color theme="1"/>
        <rFont val="仿宋"/>
        <charset val="134"/>
      </rPr>
      <t>颌骨囊肿等良性病变的治疗过程通常开展颌骨良性病变切除术，需通过去骨术（包括去除颊侧骨皮质）暴露牙冠或解除骨阻力</t>
    </r>
    <r>
      <rPr>
        <sz val="11"/>
        <color theme="1"/>
        <rFont val="Times New Roman"/>
        <charset val="134"/>
      </rPr>
      <t>‌</t>
    </r>
    <r>
      <rPr>
        <sz val="11"/>
        <color theme="1"/>
        <rFont val="仿宋"/>
        <charset val="134"/>
      </rPr>
      <t>。而下颌骨去骨皮质术可视为其在颌骨区域的具体实施方式之一</t>
    </r>
    <r>
      <rPr>
        <sz val="11"/>
        <color theme="1"/>
        <rFont val="Times New Roman"/>
        <charset val="134"/>
      </rPr>
      <t>‌</t>
    </r>
    <r>
      <rPr>
        <sz val="11"/>
        <color theme="1"/>
        <rFont val="宋体"/>
        <charset val="134"/>
      </rPr>
      <t>。</t>
    </r>
    <r>
      <rPr>
        <sz val="11"/>
        <color theme="1"/>
        <rFont val="仿宋"/>
        <charset val="134"/>
      </rPr>
      <t xml:space="preserve">
颌骨囊肿等良性病变行颌骨良性病变切除术的同时重复收取下颌骨去骨皮质术费用，共131.8次143398.4元。例：邵雨晴，住院号0001916721、惠向挺，住院号0001919615、陈腊香，住院号0002259870。</t>
    </r>
  </si>
  <si>
    <t>根据《襄阳市医疗服务项目价格手册2022版》《襄阳市医疗服务项目价格目录（2024版）》，颌骨良性病变切除术项目内涵：包括上、下颌骨骨髓炎、良性肿瘤、瘤样病变及各类囊肿的切除术(含刮治术)；不含松质骨或骨替代物的植入。</t>
  </si>
  <si>
    <r>
      <rPr>
        <sz val="11"/>
        <rFont val="仿宋"/>
        <charset val="134"/>
      </rPr>
      <t>对于</t>
    </r>
    <r>
      <rPr>
        <sz val="11"/>
        <rFont val="Times New Roman"/>
        <charset val="134"/>
      </rPr>
      <t>‌</t>
    </r>
    <r>
      <rPr>
        <sz val="11"/>
        <rFont val="仿宋"/>
        <charset val="134"/>
      </rPr>
      <t>低位阻生或骨埋伏阻生</t>
    </r>
    <r>
      <rPr>
        <sz val="11"/>
        <rFont val="Times New Roman"/>
        <charset val="134"/>
      </rPr>
      <t>‌</t>
    </r>
    <r>
      <rPr>
        <sz val="11"/>
        <rFont val="仿宋"/>
        <charset val="134"/>
      </rPr>
      <t>（如牙冠完全被骨包埋），需通过去骨术（包括去除颊侧骨皮质）暴露牙冠或解除骨阻力</t>
    </r>
    <r>
      <rPr>
        <sz val="11"/>
        <rFont val="Times New Roman"/>
        <charset val="134"/>
      </rPr>
      <t>‌</t>
    </r>
    <r>
      <rPr>
        <sz val="11"/>
        <rFont val="宋体"/>
        <charset val="134"/>
      </rPr>
      <t>。</t>
    </r>
    <r>
      <rPr>
        <sz val="11"/>
        <rFont val="仿宋"/>
        <charset val="134"/>
      </rPr>
      <t xml:space="preserve">
行阻生牙拔除术、复杂牙拔除术的同时收取下颌骨去骨皮质术费用，共289.6次315084.8元。例：陈晓玲，住院号0001965982、黄进峰，住院号0002083753、胡师予，住院号0001966164、熊君怡，住院号0002123622。</t>
    </r>
  </si>
  <si>
    <t>根据《全国医疗服务项目技术规范（2023年版）》，（高、中、低位）阻生牙拔除术项目内涵：在配有微动力系统设备的牙科椅位，局部麻醉，切开，翻瓣，去骨解除阻力，切割牙体组织，分根，拔除，清理牙槽窝，缝合伤口。不含神经阻滞麻醉术。</t>
  </si>
  <si>
    <t>麻醉监护下镇静术（编码HAQ42101）</t>
  </si>
  <si>
    <t>综合住院</t>
  </si>
  <si>
    <r>
      <rPr>
        <sz val="11"/>
        <color theme="1"/>
        <rFont val="仿宋"/>
        <charset val="134"/>
      </rPr>
      <t>全身麻醉患者处于无意识状态，麻醉监护下镇静术患者意识清醒，全身麻醉的同时收取“麻醉监护下镇静术”属于重复收费</t>
    </r>
    <r>
      <rPr>
        <sz val="11"/>
        <color theme="1"/>
        <rFont val="Times New Roman"/>
        <charset val="134"/>
      </rPr>
      <t>‌</t>
    </r>
    <r>
      <rPr>
        <sz val="11"/>
        <color theme="1"/>
        <rFont val="仿宋"/>
        <charset val="134"/>
      </rPr>
      <t>，共25次4120元。</t>
    </r>
  </si>
  <si>
    <r>
      <rPr>
        <sz val="11"/>
        <color theme="1"/>
        <rFont val="仿宋"/>
        <charset val="134"/>
      </rPr>
      <t>根据《全国医疗服务项目技术规范（2023年版）》，全身麻醉项目内涵：入手术室后连接基本生命体征监测，开放静脉，麻醉面罩通气预充给氧，全麻诱导，建立呼吸通道，实施气道管理；全程监测记录各项基本生命体征。按手术和病情需要调整麻醉深度，预防和处理相关并发症，处理各种合并症，直至手术完成；从麻醉状态中苏醒恢复后返回麻醉后恢复室或病房，或镇静下带气管导管进入麻醉后回复室或监护室。不含术中特殊监测、气管插管。
麻醉监护下镇静术项目内涵：指在麻醉监护下注射镇静药物和麻醉性镇痛药物，使</t>
    </r>
    <r>
      <rPr>
        <b/>
        <sz val="11"/>
        <color theme="1"/>
        <rFont val="仿宋"/>
        <charset val="134"/>
      </rPr>
      <t>患者处于清醒镇静状态</t>
    </r>
    <r>
      <rPr>
        <sz val="11"/>
        <color theme="1"/>
        <rFont val="仿宋"/>
        <charset val="134"/>
      </rPr>
      <t>，使患者能配合，小手术、创伤较小的有创操作和医学检查的实施。术中吸氧，全程持续监测心电图，无创动脉血压、呼吸、脉搏氧饱和度等。通常情况下每5分钟记录一次各项生命体征，分析病情，观察麻醉效果，维持生命体征平稳，至手术结束。及时有效预防和处理各类并发症。</t>
    </r>
  </si>
  <si>
    <t>仰卧位安置技术（编码331700007x）</t>
  </si>
  <si>
    <t>肾内科</t>
  </si>
  <si>
    <r>
      <rPr>
        <sz val="11"/>
        <color theme="1"/>
        <rFont val="仿宋"/>
        <charset val="134"/>
      </rPr>
      <t>仰卧位</t>
    </r>
    <r>
      <rPr>
        <sz val="11"/>
        <color theme="1"/>
        <rFont val="Times New Roman"/>
        <charset val="134"/>
      </rPr>
      <t>‌</t>
    </r>
    <r>
      <rPr>
        <sz val="11"/>
        <color theme="1"/>
        <rFont val="仿宋"/>
        <charset val="134"/>
      </rPr>
      <t>是经皮静脉球囊扩张术的标准体位</t>
    </r>
    <r>
      <rPr>
        <sz val="11"/>
        <color theme="1"/>
        <rFont val="Times New Roman"/>
        <charset val="134"/>
      </rPr>
      <t>‌</t>
    </r>
    <r>
      <rPr>
        <sz val="11"/>
        <color theme="1"/>
        <rFont val="宋体"/>
        <charset val="134"/>
      </rPr>
      <t>，</t>
    </r>
    <r>
      <rPr>
        <sz val="11"/>
        <color theme="1"/>
        <rFont val="仿宋"/>
        <charset val="134"/>
      </rPr>
      <t>若球囊扩张术项目内涵已包含体位安置（如局部麻醉、穿刺等基础操作），单独收取“仰卧位安置技术费”则属于重复收费</t>
    </r>
    <r>
      <rPr>
        <sz val="11"/>
        <color theme="1"/>
        <rFont val="Times New Roman"/>
        <charset val="134"/>
      </rPr>
      <t>‌</t>
    </r>
    <r>
      <rPr>
        <sz val="11"/>
        <color theme="1"/>
        <rFont val="宋体"/>
        <charset val="134"/>
      </rPr>
      <t>。</t>
    </r>
    <r>
      <rPr>
        <sz val="11"/>
        <color theme="1"/>
        <rFont val="仿宋"/>
        <charset val="134"/>
      </rPr>
      <t>经皮静脉球囊扩张术同时收取仰卧位安置技术费用共2137次371838元。其中78例为下肢血管手术，另抽取145例病历，68例手术时长超过60分钟，属合理情况，不合理收费占比53.1%，涉及1094例190356元。例：罗钰婷，住院号0001868559。</t>
    </r>
  </si>
  <si>
    <r>
      <rPr>
        <sz val="11"/>
        <color theme="1"/>
        <rFont val="仿宋"/>
        <charset val="134"/>
      </rPr>
      <t>根据《全国医疗服务项目技术规范（2023年版）》，经皮穿刺无名/锁骨下静脉球囊扩张术项目内涵：</t>
    </r>
    <r>
      <rPr>
        <b/>
        <sz val="11"/>
        <color theme="1"/>
        <rFont val="仿宋"/>
        <charset val="134"/>
      </rPr>
      <t>消毒麻醉，静脉穿刺插管至无名静脉或锁骨下静脉，</t>
    </r>
    <r>
      <rPr>
        <sz val="11"/>
        <color theme="1"/>
        <rFont val="仿宋"/>
        <charset val="134"/>
      </rPr>
      <t>造影并摄片，引入导引导管或长鞘，插入球囊扩张导管至狭窄部位，球囊扩张无名或锁骨下静脉，造影评价扩张效果，拔管压迫止血。</t>
    </r>
  </si>
  <si>
    <t>申诉佐证</t>
  </si>
  <si>
    <t>违反诊疗规范过度诊疗</t>
  </si>
  <si>
    <t>经皮静脉内溶栓术（编码320100008）</t>
  </si>
  <si>
    <r>
      <rPr>
        <sz val="11"/>
        <color theme="1"/>
        <rFont val="仿宋"/>
        <charset val="134"/>
      </rPr>
      <t>刘作金，住院号0001872674，2023年5月17日行上肢内瘘静脉+中心静脉造影，未提及存在血栓，5月18日行超声引导下左上肢内瘘球囊扩张+上肢静脉导管溶栓术，也未提示存在血栓，直接在漂移段行溶栓术属于过度诊疗</t>
    </r>
    <r>
      <rPr>
        <sz val="11"/>
        <color theme="1"/>
        <rFont val="宋体"/>
        <charset val="134"/>
      </rPr>
      <t>，</t>
    </r>
    <r>
      <rPr>
        <sz val="11"/>
        <color theme="1"/>
        <rFont val="仿宋"/>
        <charset val="134"/>
      </rPr>
      <t>涉及0.6次1479元。</t>
    </r>
  </si>
  <si>
    <r>
      <rPr>
        <sz val="11"/>
        <rFont val="仿宋"/>
        <charset val="134"/>
      </rPr>
      <t>根据《全国医疗服务项目技术规范（2023年版）》，经皮穿刺无名/锁骨下静脉球囊扩张术项目内涵：消毒麻醉，静脉穿刺插管至无名静脉或锁骨下静脉，</t>
    </r>
    <r>
      <rPr>
        <b/>
        <sz val="11"/>
        <rFont val="仿宋"/>
        <charset val="134"/>
      </rPr>
      <t>造影并摄片</t>
    </r>
    <r>
      <rPr>
        <sz val="11"/>
        <rFont val="仿宋"/>
        <charset val="134"/>
      </rPr>
      <t>，引入导引导管或长鞘，插入球囊扩张导管至狭窄部位，球囊扩张无名或锁骨下静脉，造影评价扩张效果，拔管压迫止血。</t>
    </r>
  </si>
  <si>
    <t>C—反应蛋白测定(CRP)（编码250401025）</t>
  </si>
  <si>
    <t>无指征同时开展C—反应蛋白测定、超敏C反应蛋白测定。C—反应蛋白一般用于炎症检测、超敏C反应蛋白应用于心脑血管疾病，排除重症医学科、胸外科、心病科，排除心血管疾病、糖尿病、栓塞等诊断。涉及159次3816元。</t>
  </si>
  <si>
    <t>根据《全国临床检验操作规程》诊疗常规。 过度检查 示例：C—反应蛋白、超敏C反应蛋白一般用于炎症检测，临床意义基本相同，临床根据诊疗需要检测其一即可。某医院对大量患者，同时开具C—反应蛋白、超敏C反应蛋白两种检测项目，属于过度检查。</t>
  </si>
  <si>
    <t>核减2025自查退款</t>
  </si>
  <si>
    <t>甲状腺球蛋白（TG）测定（编码250310053）</t>
  </si>
  <si>
    <t>开具血清促甲状腺激素的同时开具甲状腺球蛋白测定；排除“甲状腺”“肿瘤”“癌”“桥本”等诊断。涉及4728次174936元。</t>
  </si>
  <si>
    <t>根据《全国临床检验操作规程》诊疗常规。 过度检查 示例：甲状腺球蛋白抗体测定（TG）能反映分化型甲状腺组织的大小、甲状腺体的物理伤害或炎症以及 TSH剌激的程度，在甲状腺相关疾病的诊断、治疗及预后评估中具有重要意义。该医院将TG与甲状腺功能检测打包，对大量无相关疾病指征的患者开展检验。</t>
  </si>
  <si>
    <t>抗甲状腺过氧化物酶抗体检测（编码250402063x）</t>
  </si>
  <si>
    <t>开具血清促甲状腺激素的同时开具抗甲状腺过氧化物酶抗体检测；排除“甲状腺”“肿瘤”“癌”“桥本”等诊断。涉及1441次57640元。</t>
  </si>
  <si>
    <t>根据《全国临床检验操作规程》诊疗常规。 过度检查 示例：甲状腺过氧化物酶抗体TPOAb 主要存在于自身免疫性甲状腺病患者和非甲状腺自身免疫性疾病患者体内。该医院将TG与甲状腺功能检测打包，对大量无相关疾病指征的患者开展检验。</t>
  </si>
  <si>
    <t>抗甲状腺球蛋白抗体测定(TGAb)（编码250402017）</t>
  </si>
  <si>
    <t>开具血清促甲状腺激素的同时开具抗甲状腺球蛋白抗体测定；排除“甲状腺”“肿瘤”“癌”“桥本”等诊断。涉及561次18513元。</t>
  </si>
  <si>
    <t>根据《全国临床检验操作规程》诊疗常规。 过度检查 示例：在甲状腺功能紊乱的诊断上， TGAb 测定并无较大的特殊意义。但是动态地监测 TGAh水平，可以了解自身免疫性甲状腺的病变进程，并辅助诊断自身免疫性甲状腺炎。该医院将TGAb与甲状腺功能检测打包，对大量无相关疾病指征的患者开展检验。</t>
  </si>
  <si>
    <t>促甲状腺素受体抗体测定（编码250310017）</t>
  </si>
  <si>
    <t>促甲状腺素受体抗体 TRAB自身免疫性甲亢的诊断或排除、与功能自主性甲状腺多发结节的鉴别诊断、监测Graves病患者治疗和复发、评估新生儿甲状腺疾病危险程度。该医院将TRAb与甲状腺功能检测打包，对大量无相关疾病指征的患者开展检验。涉及1734次65892元。</t>
  </si>
  <si>
    <t>根据《全国临床检验操作规程》诊疗常规。 过度检查 示例：促甲状腺素受体抗体 TRAB自身免疫性甲亢的诊断或排除、与功能自主性甲状腺多发结节的鉴别诊断、监测Graves病患者治疗和复发、评估新生儿甲状腺疾病危险程度。该医院将TRAb与甲状腺功能检测打包，对大量无相关疾病指征的患者开展检验。</t>
  </si>
  <si>
    <t>镁测定（编码250304006）</t>
  </si>
  <si>
    <t>将电解质检测与镁测定设置为检查套餐，无指征打包开展镁测定并收费，排除外科、老年病人；排除排除肾病、甲状旁腺疾病、佝偻病、维生素D缺乏、慢性腹泻、代谢性疾病、肠道疾病、肝病、肿瘤诊断无指征为住院患者普遍进行检测。涉及7882次34978元。</t>
  </si>
  <si>
    <t>根据《全国临床检验操作规程》诊疗常规。 过度检查 示例：某医院为患者开展电解质检查时，未依据患者病情，无指征打包开展镁测定并收费，属于过度检查。</t>
  </si>
  <si>
    <t>核减2025自查退款
+
申诉佐证</t>
  </si>
  <si>
    <t>无机磷测定（编码250304005）</t>
  </si>
  <si>
    <t>将电解质检测与无机磷测定设置为检查套餐，排除肾病、甲状旁腺疾病、佝偻病、维生素D缺乏、慢性腹泻、代谢性疾病、肠道疾病、肝病、肿瘤诊断，无指征为住院患者普遍进行检测。涉及5853次23412元。</t>
  </si>
  <si>
    <t>根据《全国临床检验操作规程》诊疗常规。 过度检查 示例：某医院为患者开展电解质检查时，未依据患者病情，无指征打包开展无机磷测定并收费，属于过度检查。</t>
  </si>
  <si>
    <t>血清载脂蛋白α测定（编码250303013）</t>
  </si>
  <si>
    <t>血清载脂蛋白α与冠心病发病倾向相关,急性时相反应(如急性心肌梗死、外科手术、急性风湿性关节炎)、缺血性心脑血管疾病、肾病综合征、尿毒症、糖尿病肾病、除肝癌以外恶性肿瘤等均可使它上升。肝脏疾病(慢性肝炎除外)可使血清载脂蛋白α水平下降。高血清载脂蛋白α水平是动脉粥样硬化性疾病的独立危险因素,但在动脉粥样硬化病变形成中,血清载脂蛋白α与ApoB起协同作用。排除血栓、高脂血症、甲状腺疾病、代谢综合征、心脑血管疾病、肾病综合征、糖尿病、肿瘤、高血压、肝病诊断。涉及616次17249元。</t>
  </si>
  <si>
    <t>根据《全国临床检验操作规程》诊疗常规。 过度检查 血清载脂蛋白α与冠心病发病倾向相关,急性时相反应(如急性心肌梗死、外科手术、急性风湿性关节炎)、缺血性心脑血管疾病、肾病综合征、尿毒症、糖尿病肾病、除肝癌以外恶性肿瘤等均可使它上升。肝脏疾病(慢性肝炎除外)可使血清载脂蛋白α水平下降。高血清载脂蛋白α水平是动脉粥样硬化性疾病的独立危险因素,但在动脉粥样硬化病变形成中,血清载脂蛋白α与ApoB起协同作用。示例：某医院未依据患者病情，无指征打包开展血清载脂蛋白α测定并收费，属于过度检查。</t>
  </si>
  <si>
    <t>载脂蛋白E基因分型（编码250303017）</t>
  </si>
  <si>
    <t>载脂蛋白E是LDL受体的配体,也是肝细胞CM残粒受体的配体,它与脂蛋白代谢有密切相关性;决定个体血脂水平与动脉粥样硬化发生发展密切相关;参与激活水解脂肪的酶类,参与免疫调节及神经组织的再生。对心脑血管疾病、肝胆胰疾病、肾脏疾病、高脂血症、糖尿病、代谢综合症、甲状腺功能疾病、恶性肿瘤、神经组织等相关疾病具有辅助诊断意义。涉及999次18981元。</t>
  </si>
  <si>
    <t>根据《全国临床检验操作规程》诊疗常规。诊疗常规载脂蛋白E是LDL受体的配体,也是肝细胞CM残粒受体的配体,它与脂蛋白代谢有密切相关性;决定个体血脂水平与动脉粥样硬化发生发展密切相关;参与激活水解脂肪的酶类,参与免疫调节及神经组织的再生。对心脑血管疾病、肝胆胰疾病、肾脏疾病、高脂血症、糖尿病、代谢综合症、甲状腺功能疾病、恶性肿瘤、神经组织等相关疾病具有辅助诊断意义。</t>
  </si>
  <si>
    <t>不加热血清反应素试验（编码250403055）</t>
  </si>
  <si>
    <t>为开展梅毒螺旋体特异抗体测定患者普遍开具不加热血清反应素试验。 诊疗常规。 过度检查 示例：不加热血清反应素试验一般用于反映梅毒的严重程度和活性。某医院为入院患者同时开具梅毒螺旋体特异抗体测定及不加热血清反应素试验，属于过度检查，366人次既往梅毒风险、不加热总计数20543次，违规19814次267224元。</t>
  </si>
  <si>
    <t>根据《全国临床检验操作规程》诊疗常规。 过度检查 示例：为开展梅毒螺旋体特异抗体测定患者普遍开具不加热血清反应素试验。 诊疗常规。 过度检查 示例：不加热血清反应素试验一般用于反映梅毒的严重程度和活性。某医院为入院患者同时开具梅毒螺旋体特异抗体测定及不加热血清反应素试验，属于过度检查。</t>
  </si>
  <si>
    <t>血清总蛋白测定（化学法）（编码250301001）</t>
  </si>
  <si>
    <t>对同一患者同时进行2次“血清总蛋白测定”，属于过度检查。涉及48次336元。</t>
  </si>
  <si>
    <t>根据《全国临床检验操作规程》诊疗常规。 过度检查 示例：某医院肝功能和肾功能组套中均包含“血清总蛋白测定”项目。该院为住院患者同时开展肝功能和肾功能组套检测，对同一患者同时进行2次“血清总蛋白测定”，属于过度检查。</t>
  </si>
  <si>
    <t>血清白蛋白测定（化学法）（编码250301002）</t>
  </si>
  <si>
    <t>对同一患者同时进行2次“血清白蛋白测定”，属于过度检查。涉及53次318元。</t>
  </si>
  <si>
    <t>根据《全国临床检验操作规程》诊疗常规。 过度检查 示例：某医院肝功能和肾功能组套中均包含“白蛋白测定”项目。该院为住院患者同时开展肝功能和肾功能组套检测，对同一患者同时进行2次“白蛋白测定”，属于过度检查。</t>
  </si>
  <si>
    <t>梅毒螺旋体特异抗体测定（编码250403053）</t>
  </si>
  <si>
    <t>非梅毒患者，住院期间多次测定梅毒抗体属于过度检查，涉及9641次154630元。</t>
  </si>
  <si>
    <t>根据《全国临床检验操作规程》诊疗常规。 过度检查 示例：过度检查 示例：根据诊疗常规。 过度检查 示例：过度检查 示例：某医院对部分非梅毒患者，一次住院周期内多次无指征开展梅毒抗体测定检查，属于过度检查。</t>
  </si>
  <si>
    <t>人免疫缺陷病毒抗体测定（Anti-HIV）（编码250403019）</t>
  </si>
  <si>
    <t>非人免疫缺陷病毒感染患者，住院期间多次测定人免疫缺陷病毒抗体属于过度检查，涉及2346次100878元。</t>
  </si>
  <si>
    <t>根据《全国临床检验操作规程》诊疗常规。 过度检查 示例：过度检查 示例：根据诊疗常规。 过度检查 示例：过度检查 示例：某医院对部分非人免疫缺陷病毒患者，一次住院周期内多次无指征开展人免疫缺陷病毒抗体测定检查，属于过度检查。</t>
  </si>
  <si>
    <t>EB病毒抗体测定（编码250403025）</t>
  </si>
  <si>
    <t>非EB病毒感染患者，住院期间多次测定EB病毒抗体属于过度检查，涉及6426次140904元。</t>
  </si>
  <si>
    <t>根据《全国临床检验操作规程》诊疗常规。 过度检查 示例：过度检查 示例：根据诊疗常规。 过度检查 示例：过度检查 示例：某医院对部分非EB病毒患者，一次住院周期内多次无指征开展EB病毒抗体测定检查，属于过度检查。</t>
  </si>
  <si>
    <t>呼吸道合胞病毒抗体测定（编码250403026）</t>
  </si>
  <si>
    <t>非呼吸道合胞病毒感染患者，住院期间多次测定呼吸道合胞病毒抗体属于过度检查，涉及195次5460元。</t>
  </si>
  <si>
    <t>根据《全国临床检验操作规程》诊疗常规。 过度检查 示例：过度检查 示例：根据诊疗常规。 过度检查 示例：某医院对部分非呼吸道合胞病毒患者，一次住院周期内多次无指征开展呼吸道合胞病毒测定检查，属于过度检查。</t>
  </si>
  <si>
    <t>粪寄生虫镜检（编码250601001）
各种寄生虫免疫学检查(免疫印迹法)（编码250602001）</t>
  </si>
  <si>
    <t>对普通入院患者普遍开展粪寄生虫镜检、各种寄生虫免疫学检查(免疫印迹法)。涉及94次1849.8元。</t>
  </si>
  <si>
    <t>根据《全国临床检验操作规程》诊疗常规。 过度检查 示例：粪寄生虫镜检一般用于寄生虫感染的诊断。某医院普遍为无指针患者开具“粪寄生虫卵计数”“寄生虫镜检”并收费，属于过度检查。</t>
  </si>
  <si>
    <t>血清肌红蛋白测定（编码250306010）</t>
  </si>
  <si>
    <t>医院部分科室将血清肌红蛋白测定作为入院患者的常规检查，对大量无相关疾病指征的患者开展检验。肌红蛋白测定可以反应心肌、骨骼肌损伤和肾功能等疾病的进展情况，排除重症医学科、骨科、肿瘤科，排除诊断骨病、心胸类疾病、肌病、上腹疾病、肿瘤、肾病，对无相关疾病指征的患者开展检验。涉及2264次116071元。</t>
  </si>
  <si>
    <t>根据《全国临床检验操作规程》诊疗常规。 过度检查 示例：血清肌红蛋白测定可以反应心肌、骨骼肌损伤和肾功能等疾病的进展情况，某医院将血清肌红蛋白测定打包进心肌酶谱，对大量无指征患者普遍开展检查并收费，属于过度检查。</t>
  </si>
  <si>
    <t>血清胱抑素(CystatinC)测定（编码250307028）</t>
  </si>
  <si>
    <t>血清胱抑素测定主要用于肾小球滤过功能损伤、糖尿病肾病、高血压肾病、肿瘤、风湿免疫性疾病以及其他肾小球早期损伤的诊断及预后判断。排除自费、工伤、离休、排除60岁以上患者、排除脑外科、胸外科、重症医学科、骨科、外科、肿瘤科、排除肾病、免疫性疾病、肿瘤、糖尿病诊断，开展肾功能检查时，无指征普遍开展血清胱抑素测定。涉及5602次217869.33元。</t>
  </si>
  <si>
    <t>根据《全国临床检验操作规程》诊疗常规。 过度检查 示例：血清胱抑素测定主要用于肾小球滤过功能损伤、糖尿病肾病、高血压肾病、肿瘤、风湿免疫性疾病以及其他肾小球早期损伤的诊断及预后判断。某医院为住院患者开展肾功能检查时，普遍打包收取血清胱抑素测定费用，属于过度检查。</t>
  </si>
  <si>
    <t>血浆乳酸测定（编码250301017）</t>
  </si>
  <si>
    <t>医院部分科室将血浆乳酸测定作为入院患者的常规检查，乳酸测定排除外科，骨科、肿瘤科、肝病科、产科、运动医学科，排除心血管疾病、糖尿病、昏迷、白血病、中毒、肝病诊断，对无相关疾病指征的患者开展检验。涉及2046次35929元。</t>
  </si>
  <si>
    <t>根据《全国临床检验操作规程》诊疗常规。 过度检查 示例：血浆乳酸测定可以反映人体组织氧供需平衡与代谢状态。某医院对荨麻疹患者，普遍开展血浆乳酸测定检查并收费，属于过度检查。</t>
  </si>
  <si>
    <t>超标准收费</t>
  </si>
  <si>
    <t>磁共振平扫（编码210200001）
磁共振增强扫描210200002）</t>
  </si>
  <si>
    <t>乳腺磁共振检测（乳腺平扫、含场强超1T加收，增强加收）将一侧乳腺计算一个部位，多收868次363168.5元。</t>
  </si>
  <si>
    <t>根据《襄阳市医疗服务项目价格手册2022版》《襄阳市医疗服务项目价格目录（2024版）》，磁共振扫描(MRI)说明：1．计价部位分为颅脑、眼眶、垂体、中耳、颈部、胸部、心脏、上腹部、下腹部、颈椎、胸椎、腰椎、双髋关节、膝关节、颞颌关节、其他；2．计价场强：以场强1T为基价，超过1T加收20%，不足1T的按70%收费；3．二手磁共振一律不得收费；4.每增加一个部位按第一个部位的50%收费。</t>
  </si>
  <si>
    <t>中药熏洗治疗（编码410000006）</t>
  </si>
  <si>
    <t>康复科</t>
  </si>
  <si>
    <t>现场检查康复科使用中药熏蒸机、足浴盆开展中药熏洗治疗，与技术规范不符。共7841次228657元。</t>
  </si>
  <si>
    <t>根据《全国医疗服务项目技术规范（2023年版）》，中药熏洗治疗项目内涵：根据患者病情，辨证选用药物，局部清洁，将中药药物加热煎汤，放入容器中，置于治疗局部下方，趁热进行熏蒸，待药液降低至适当温度后将局部（半身/全身）浸于药液中。</t>
  </si>
  <si>
    <t>中药塌渍治疗（编码410000008）</t>
  </si>
  <si>
    <t>中医科</t>
  </si>
  <si>
    <t>现场检查发现中医科使用智能通络治疗仪，无医疗服务项目价格目录对应项目，2025年9月15日后违规收取中药贴敷、中药塌渍治疗两种不同项目的费用其中中药塌渍治疗为虚计费用，涉及319次10223元。</t>
  </si>
  <si>
    <t>根据《襄阳市中医针法类、中医外治类、中医类（灸法、拔罐、推拿）及放射检查类医疗服务项目价格及医保支付政策表》，中药贴敷项目内涵：由医务人员使用贴敷制品敷贴于体表特定部位或穴位，通过药物或物理作用，以发挥促进气血调和、阴阳平衡等各类作用。
根据《全国医疗服务项目技术规范（2023年版）》，中药溻渍治疗项目内涵：根据患者病情，局部清洁、常规消毒后，辨证调配药物，将药物装于药袋中煎煮，捞出药袋，晾至适当温度后，放置于局部，或将局部浸于药液中，其上覆盖药袋。</t>
  </si>
  <si>
    <t>隔物灸法（编码440000002）
砭石治疗（编码PBCD1501）</t>
  </si>
  <si>
    <t>现场检查发现中医科在同一次治疗过程中，使用火龙罐违规收取隔物灸法、砭石治疗两种不同项目的费用共296次10810元（隔物灸法248次8074元，砭石治疗48次2736元）。</t>
  </si>
  <si>
    <t>根据《全国医疗服务项目技术规范（2023年版）》，隔物灸治疗项目内涵：根据病情、患者体质和穴位等，确定使用的间隔药物并对药物进行中药饮片调配临方复杂炮制，安置体位，选择合适的灸量，密切观察灸处肤色变化和患者神情应，以了解灸处感觉和病情变化，及时调整灸量，防止烫伤。不含中药饮片调配临方复杂炮制（PAA0203）。
砭石治疗项目内涵：根据病情确定施术部位，选择适当的砭石用具，确定施术方法和治疗时间，治疗手法有感、压、㨰、擦、刺、划、叩、刮、扭、旋、振、拔、温、凉、挝等。</t>
  </si>
  <si>
    <t>LEEP刀进购与实际手术次数不符</t>
  </si>
  <si>
    <t>妇产科</t>
  </si>
  <si>
    <t>该院购进LEEP刀出库55把，调取数据显示妇产科施行台次手术并计费677次，虚计费用622次90190元。</t>
  </si>
  <si>
    <t>根据《高频手术电极刀头使用说明书》：可重复使用耗材通常针对的是设备中可拆解、可严格消毒灭菌的非一次性核心部件（如刀头的金属基体、操作手柄等），而非直接接触患者创面的一次性耗材（如部分品牌的一次性电极涂层、无菌保护套等）。</t>
  </si>
  <si>
    <t>血透监测（编码311000012）</t>
  </si>
  <si>
    <t>透析室</t>
  </si>
  <si>
    <t>透析室共设置217台血液透析设备，经核实有5台透析设备不能监测并记录血温、在线尿素监测、血容量、血压值。根据2023年1月1日至2025年9月30日时间段内透析室设备排班记录，多收血透监测费（无监测记录的）为2995次95840元。</t>
  </si>
  <si>
    <t>根据《医疗器械监督管理条例》第五十五条规定，医疗器械经营企业、使用单位不得经营、使用未依法注册或者备案、无合格证明文件以及过期、失效、淘汰的医疗器械。</t>
  </si>
  <si>
    <t>内部管理问题</t>
  </si>
  <si>
    <t>其他</t>
  </si>
  <si>
    <t>烫熨治疗（编码470000013）</t>
  </si>
  <si>
    <t>肛肠科</t>
  </si>
  <si>
    <t>现场检查发现肛肠科开展中药热奄包治疗的同时收取烫熨治疗费用，与技术规范不符。
2023年1月1日至2025年9月30日，烫熨治疗共219次8290元。</t>
  </si>
  <si>
    <t>根据《全国医疗服务项目技术规范（2023年版）》，中药热奄包治疗项目内涵：根据患者病情，辨证调配药物，局部清洁、常规消毒，将中药加热适当温度后，迅速用布包裹，敷于患部。
烫熨治疗项目内涵：根据患者病情，辨证调配药物，取合适体位，局部清洁、常规消毒，暴露烫熨部位，局部皮肤涂少量凡士林，将中药加热后，迅速用布包裹，然后在特定部位来回移动或反复旋转按摩。药袋温度过低时可更换药袋。密切观察局部皮肤情况，防止烫伤。</t>
  </si>
  <si>
    <t>现场检查肛肠科使用超期设备（多功能康复器，生产日期2016年10月，使用期限5年，2021年11月超期）开展中药熏洗治疗。</t>
  </si>
  <si>
    <t>/</t>
  </si>
  <si>
    <t>中药蒸汽浴治疗（编码410000007）</t>
  </si>
  <si>
    <t>现场检查肛肠科使用超期设备开展（多功能康复器，生产日期2016年10月，使用期限5年，2021年11月超期）中药蒸汽浴治疗。</t>
  </si>
  <si>
    <t>磁疗（编码340100019）</t>
  </si>
  <si>
    <t>现场检查康复科使用超期设备开展（交变磁场治疗仪，生产日期2015年12月，使用期限5年，2021年1月超期）磁疗。</t>
  </si>
  <si>
    <t>红外线治疗（编码340100001）</t>
  </si>
  <si>
    <t>现场检查发现中医科23台“特定电磁波治疗器”中4台超出有效期，最晚生产日期2019年12月，使用期限3年，2023年1月就超出有效期，任在使用。</t>
  </si>
  <si>
    <t>中药烫熨（编码470000013）</t>
  </si>
  <si>
    <t>现场检查中医科对一个部位开展中药烫熨实际是将中药包加热后置于患处，与技术规范不符。共821次30299元。</t>
  </si>
  <si>
    <t>根据《襄阳市中医针法类、中医外治类、中医类（灸法、拔罐、推拿）及放射检查类医疗服务项目价格及医保支付政策表》，中药烫熨项目内涵：由医务人员将调配药物加热后置于患者体表特定部位或穴位，进行移动敷熨，以发挥促进散寒止痛、消肿祛瘀等各类作用。</t>
  </si>
  <si>
    <t>进销存不符</t>
  </si>
  <si>
    <t>一次性使用输液接头消毒帽</t>
  </si>
  <si>
    <t>一次性使用输液接头消毒帽：2023.1.1-25.9.30病人计费量11952个，耗材消耗量7800个，溢库4152个14532元。</t>
  </si>
  <si>
    <t>根据《襄阳市定点医疗机构医疗保障服务协议（2025年版）》第二十四条【进销存管理】乙方应严格按照有关规定购进、使用、管理药品和医用耗材并建立管理制度。全流程记录药品、医用耗材的购进、使用、库存（以下简称“进销存”）以及追溯码等信息，建立台账，留存凭证和票据。乙方进销存台账中的药品和医用耗材相关信息数据应与实际情况一致，并实现相关信息数据可追溯。</t>
  </si>
  <si>
    <t xml:space="preserve"> 被检机构负责人确认签字：           　　                检查组签字：                                              　　　　  时间：2025年11月27日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</si>
</sst>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等线"/>
      <charset val="134"/>
      <scheme val="minor"/>
    </font>
    <font>
      <sz val="14"/>
      <color theme="1"/>
      <name val="方正小标宋简体"/>
      <charset val="134"/>
    </font>
    <font>
      <sz val="11"/>
      <color theme="1"/>
      <name val="仿宋"/>
      <charset val="134"/>
    </font>
    <font>
      <sz val="11"/>
      <name val="仿宋"/>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仿宋"/>
      <charset val="134"/>
    </font>
    <font>
      <sz val="11"/>
      <color theme="1"/>
      <name val="Times New Roman"/>
      <charset val="134"/>
    </font>
    <font>
      <sz val="11"/>
      <color theme="1"/>
      <name val="宋体"/>
      <charset val="134"/>
    </font>
    <font>
      <sz val="11"/>
      <name val="Times New Roman"/>
      <charset val="134"/>
    </font>
    <font>
      <sz val="11"/>
      <name val="宋体"/>
      <charset val="134"/>
    </font>
    <font>
      <b/>
      <sz val="11"/>
      <name val="仿宋"/>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4" borderId="6" applyNumberFormat="0" applyAlignment="0" applyProtection="0">
      <alignment vertical="center"/>
    </xf>
    <xf numFmtId="0" fontId="13" fillId="5" borderId="7" applyNumberFormat="0" applyAlignment="0" applyProtection="0">
      <alignment vertical="center"/>
    </xf>
    <xf numFmtId="0" fontId="14" fillId="5" borderId="6" applyNumberFormat="0" applyAlignment="0" applyProtection="0">
      <alignment vertical="center"/>
    </xf>
    <xf numFmtId="0" fontId="15" fillId="6"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3">
    <xf numFmtId="0" fontId="0" fillId="0" borderId="0" xfId="0">
      <alignment vertical="center"/>
    </xf>
    <xf numFmtId="0" fontId="0" fillId="0" borderId="0" xfId="0" applyFill="1" applyAlignment="1">
      <alignment vertical="center"/>
    </xf>
    <xf numFmtId="0" fontId="0" fillId="0" borderId="0" xfId="0" applyFill="1">
      <alignment vertical="center"/>
    </xf>
    <xf numFmtId="0" fontId="0" fillId="0" borderId="0" xfId="0" applyFill="1" applyAlignment="1">
      <alignment horizontal="center" vertical="center"/>
    </xf>
    <xf numFmtId="0" fontId="0" fillId="0" borderId="0" xfId="0" applyNumberFormat="1" applyFill="1">
      <alignment vertical="center"/>
    </xf>
    <xf numFmtId="0" fontId="0" fillId="0" borderId="0" xfId="0" applyFill="1" applyAlignment="1">
      <alignment horizontal="center" vertical="center" wrapText="1"/>
    </xf>
    <xf numFmtId="0" fontId="1" fillId="0" borderId="0" xfId="0" applyFont="1" applyFill="1" applyAlignment="1">
      <alignment horizontal="center" vertical="center" wrapText="1"/>
    </xf>
    <xf numFmtId="0" fontId="1" fillId="0" borderId="0" xfId="0" applyNumberFormat="1" applyFont="1" applyFill="1" applyAlignment="1">
      <alignment horizontal="center" vertical="center" wrapText="1"/>
    </xf>
    <xf numFmtId="0" fontId="2" fillId="0" borderId="0" xfId="0" applyFont="1" applyFill="1" applyAlignment="1">
      <alignment horizontal="left" vertical="center" wrapText="1"/>
    </xf>
    <xf numFmtId="0" fontId="2" fillId="0" borderId="0" xfId="0" applyFont="1" applyFill="1" applyAlignment="1">
      <alignment horizontal="center" vertical="center" wrapText="1"/>
    </xf>
    <xf numFmtId="0" fontId="2" fillId="0" borderId="0" xfId="0" applyNumberFormat="1" applyFont="1" applyFill="1" applyAlignment="1">
      <alignment horizontal="left" vertical="center" wrapText="1"/>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NumberFormat="1" applyFont="1" applyFill="1" applyAlignment="1">
      <alignment horizontal="left" vertical="center" wrapText="1"/>
    </xf>
    <xf numFmtId="0"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2"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applyNumberFormat="1" applyFont="1" applyFill="1" applyBorder="1" applyAlignment="1">
      <alignment horizontal="left" vertical="center" wrapText="1"/>
    </xf>
    <xf numFmtId="0" fontId="2"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45"/>
  <sheetViews>
    <sheetView tabSelected="1" zoomScale="85" zoomScaleNormal="85" workbookViewId="0">
      <pane ySplit="4" topLeftCell="A41" activePane="bottomLeft" state="frozen"/>
      <selection/>
      <selection pane="bottomLeft" activeCell="U4" sqref="U4"/>
    </sheetView>
  </sheetViews>
  <sheetFormatPr defaultColWidth="9" defaultRowHeight="14.25"/>
  <cols>
    <col min="1" max="1" width="4.66666666666667" style="2" customWidth="1"/>
    <col min="2" max="2" width="16.775" style="2" customWidth="1"/>
    <col min="3" max="3" width="12" style="3" customWidth="1"/>
    <col min="4" max="4" width="15.775" style="2" customWidth="1"/>
    <col min="5" max="5" width="7.775" style="2" customWidth="1"/>
    <col min="6" max="6" width="40.5833333333333" style="2" customWidth="1"/>
    <col min="7" max="7" width="7.775" style="2" customWidth="1"/>
    <col min="8" max="8" width="12.75" style="4" customWidth="1"/>
    <col min="9" max="9" width="40.5833333333333" style="2" customWidth="1"/>
    <col min="10" max="10" width="9.10833333333333" style="2" customWidth="1"/>
    <col min="11" max="11" width="12.8083333333333" style="5" hidden="1" customWidth="1"/>
    <col min="12" max="12" width="9.10833333333333" style="2" hidden="1" customWidth="1"/>
    <col min="13" max="16384" width="9" style="2"/>
  </cols>
  <sheetData>
    <row r="1" ht="38.25" customHeight="1" spans="1:12">
      <c r="A1" s="6" t="s">
        <v>0</v>
      </c>
      <c r="B1" s="6"/>
      <c r="C1" s="6"/>
      <c r="D1" s="6"/>
      <c r="E1" s="6"/>
      <c r="F1" s="6"/>
      <c r="G1" s="6"/>
      <c r="H1" s="7"/>
      <c r="I1" s="6"/>
      <c r="J1" s="6"/>
      <c r="L1" s="6"/>
    </row>
    <row r="2" ht="24" customHeight="1" spans="1:12">
      <c r="A2" s="8" t="s">
        <v>1</v>
      </c>
      <c r="B2" s="8"/>
      <c r="C2" s="9"/>
      <c r="D2" s="8"/>
      <c r="E2" s="8"/>
      <c r="F2" s="8"/>
      <c r="G2" s="8"/>
      <c r="H2" s="10"/>
      <c r="I2" s="8"/>
      <c r="J2" s="8"/>
      <c r="L2" s="8"/>
    </row>
    <row r="3" ht="24" customHeight="1" spans="1:12">
      <c r="A3" s="11" t="s">
        <v>2</v>
      </c>
      <c r="B3" s="11"/>
      <c r="C3" s="12"/>
      <c r="D3" s="11"/>
      <c r="E3" s="11"/>
      <c r="F3" s="11"/>
      <c r="G3" s="11"/>
      <c r="H3" s="13"/>
      <c r="I3" s="11"/>
      <c r="J3" s="11"/>
      <c r="L3" s="11"/>
    </row>
    <row r="4" ht="50" customHeight="1" spans="1:12">
      <c r="A4" s="14" t="s">
        <v>3</v>
      </c>
      <c r="B4" s="14" t="s">
        <v>4</v>
      </c>
      <c r="C4" s="14" t="s">
        <v>5</v>
      </c>
      <c r="D4" s="14" t="s">
        <v>6</v>
      </c>
      <c r="E4" s="14" t="s">
        <v>7</v>
      </c>
      <c r="F4" s="14" t="s">
        <v>8</v>
      </c>
      <c r="G4" s="14" t="s">
        <v>9</v>
      </c>
      <c r="H4" s="15" t="s">
        <v>10</v>
      </c>
      <c r="I4" s="14" t="s">
        <v>11</v>
      </c>
      <c r="J4" s="14" t="s">
        <v>12</v>
      </c>
      <c r="K4" s="5" t="s">
        <v>13</v>
      </c>
      <c r="L4" s="14" t="s">
        <v>12</v>
      </c>
    </row>
    <row r="5" s="1" customFormat="1" ht="172" customHeight="1" spans="1:12">
      <c r="A5" s="14">
        <v>1</v>
      </c>
      <c r="B5" s="14" t="s">
        <v>14</v>
      </c>
      <c r="C5" s="14" t="s">
        <v>15</v>
      </c>
      <c r="D5" s="14" t="s">
        <v>16</v>
      </c>
      <c r="E5" s="14" t="s">
        <v>17</v>
      </c>
      <c r="F5" s="16" t="s">
        <v>18</v>
      </c>
      <c r="G5" s="14">
        <v>9</v>
      </c>
      <c r="H5" s="15">
        <v>9398.4</v>
      </c>
      <c r="I5" s="22" t="s">
        <v>19</v>
      </c>
      <c r="J5" s="14"/>
      <c r="K5" s="5"/>
      <c r="L5" s="14"/>
    </row>
    <row r="6" s="1" customFormat="1" ht="178" customHeight="1" spans="1:12">
      <c r="A6" s="14">
        <v>2</v>
      </c>
      <c r="B6" s="14" t="s">
        <v>14</v>
      </c>
      <c r="C6" s="14" t="s">
        <v>15</v>
      </c>
      <c r="D6" s="14" t="s">
        <v>20</v>
      </c>
      <c r="E6" s="14" t="s">
        <v>17</v>
      </c>
      <c r="F6" s="16" t="s">
        <v>21</v>
      </c>
      <c r="G6" s="14">
        <v>131.8</v>
      </c>
      <c r="H6" s="15">
        <v>143398.4</v>
      </c>
      <c r="I6" s="22" t="s">
        <v>22</v>
      </c>
      <c r="J6" s="14"/>
      <c r="K6" s="5"/>
      <c r="L6" s="14"/>
    </row>
    <row r="7" s="1" customFormat="1" ht="141" customHeight="1" spans="1:12">
      <c r="A7" s="14">
        <v>3</v>
      </c>
      <c r="B7" s="14" t="s">
        <v>14</v>
      </c>
      <c r="C7" s="14" t="s">
        <v>15</v>
      </c>
      <c r="D7" s="14" t="s">
        <v>20</v>
      </c>
      <c r="E7" s="14" t="s">
        <v>17</v>
      </c>
      <c r="F7" s="17" t="s">
        <v>23</v>
      </c>
      <c r="G7" s="14">
        <v>289.6</v>
      </c>
      <c r="H7" s="15">
        <v>315084.8</v>
      </c>
      <c r="I7" s="17" t="s">
        <v>24</v>
      </c>
      <c r="J7" s="14"/>
      <c r="K7" s="5"/>
      <c r="L7" s="14"/>
    </row>
    <row r="8" s="1" customFormat="1" ht="320" customHeight="1" spans="1:12">
      <c r="A8" s="14">
        <v>4</v>
      </c>
      <c r="B8" s="14" t="s">
        <v>14</v>
      </c>
      <c r="C8" s="14" t="s">
        <v>15</v>
      </c>
      <c r="D8" s="14" t="s">
        <v>25</v>
      </c>
      <c r="E8" s="14" t="s">
        <v>26</v>
      </c>
      <c r="F8" s="16" t="s">
        <v>27</v>
      </c>
      <c r="G8" s="14">
        <v>25</v>
      </c>
      <c r="H8" s="15">
        <v>4120</v>
      </c>
      <c r="I8" s="16" t="s">
        <v>28</v>
      </c>
      <c r="J8" s="14"/>
      <c r="K8" s="5"/>
      <c r="L8" s="14"/>
    </row>
    <row r="9" s="1" customFormat="1" ht="175" customHeight="1" spans="1:12">
      <c r="A9" s="14">
        <v>5</v>
      </c>
      <c r="B9" s="14" t="s">
        <v>14</v>
      </c>
      <c r="C9" s="14" t="s">
        <v>15</v>
      </c>
      <c r="D9" s="14" t="s">
        <v>29</v>
      </c>
      <c r="E9" s="14" t="s">
        <v>30</v>
      </c>
      <c r="F9" s="16" t="s">
        <v>31</v>
      </c>
      <c r="G9" s="14">
        <v>1094</v>
      </c>
      <c r="H9" s="15">
        <v>190356</v>
      </c>
      <c r="I9" s="16" t="s">
        <v>32</v>
      </c>
      <c r="J9" s="14" t="s">
        <v>33</v>
      </c>
      <c r="K9" s="5"/>
      <c r="L9" s="14" t="s">
        <v>33</v>
      </c>
    </row>
    <row r="10" s="1" customFormat="1" ht="130" customHeight="1" spans="1:12">
      <c r="A10" s="14">
        <v>6</v>
      </c>
      <c r="B10" s="14" t="s">
        <v>14</v>
      </c>
      <c r="C10" s="14" t="s">
        <v>34</v>
      </c>
      <c r="D10" s="14" t="s">
        <v>35</v>
      </c>
      <c r="E10" s="14" t="s">
        <v>30</v>
      </c>
      <c r="F10" s="16" t="s">
        <v>36</v>
      </c>
      <c r="G10" s="14">
        <v>0.6</v>
      </c>
      <c r="H10" s="15">
        <v>1479</v>
      </c>
      <c r="I10" s="17" t="s">
        <v>37</v>
      </c>
      <c r="J10" s="14"/>
      <c r="K10" s="5"/>
      <c r="L10" s="14"/>
    </row>
    <row r="11" s="1" customFormat="1" ht="123" customHeight="1" spans="1:12">
      <c r="A11" s="14">
        <v>7</v>
      </c>
      <c r="B11" s="14" t="s">
        <v>14</v>
      </c>
      <c r="C11" s="14" t="s">
        <v>34</v>
      </c>
      <c r="D11" s="14" t="s">
        <v>38</v>
      </c>
      <c r="E11" s="14" t="s">
        <v>26</v>
      </c>
      <c r="F11" s="16" t="s">
        <v>39</v>
      </c>
      <c r="G11" s="14">
        <v>159</v>
      </c>
      <c r="H11" s="15">
        <v>3816</v>
      </c>
      <c r="I11" s="22" t="s">
        <v>40</v>
      </c>
      <c r="J11" s="14" t="s">
        <v>41</v>
      </c>
      <c r="K11" s="5"/>
      <c r="L11" s="14" t="s">
        <v>41</v>
      </c>
    </row>
    <row r="12" customFormat="1" ht="145" customHeight="1" spans="1:12">
      <c r="A12" s="14">
        <v>8</v>
      </c>
      <c r="B12" s="14" t="s">
        <v>14</v>
      </c>
      <c r="C12" s="14" t="s">
        <v>34</v>
      </c>
      <c r="D12" s="14" t="s">
        <v>42</v>
      </c>
      <c r="E12" s="14" t="s">
        <v>26</v>
      </c>
      <c r="F12" s="16" t="s">
        <v>43</v>
      </c>
      <c r="G12" s="14">
        <v>4728</v>
      </c>
      <c r="H12" s="15">
        <v>174936</v>
      </c>
      <c r="I12" s="22" t="s">
        <v>44</v>
      </c>
      <c r="J12" s="14" t="s">
        <v>33</v>
      </c>
      <c r="K12" s="5"/>
      <c r="L12" s="14" t="s">
        <v>33</v>
      </c>
    </row>
    <row r="13" customFormat="1" ht="112" customHeight="1" spans="1:12">
      <c r="A13" s="14">
        <v>9</v>
      </c>
      <c r="B13" s="14" t="s">
        <v>14</v>
      </c>
      <c r="C13" s="14" t="s">
        <v>34</v>
      </c>
      <c r="D13" s="14" t="s">
        <v>45</v>
      </c>
      <c r="E13" s="14" t="s">
        <v>26</v>
      </c>
      <c r="F13" s="16" t="s">
        <v>46</v>
      </c>
      <c r="G13" s="14">
        <v>1441</v>
      </c>
      <c r="H13" s="15">
        <v>57640</v>
      </c>
      <c r="I13" s="22" t="s">
        <v>47</v>
      </c>
      <c r="J13" s="14" t="s">
        <v>33</v>
      </c>
      <c r="K13" s="5"/>
      <c r="L13" s="14" t="s">
        <v>33</v>
      </c>
    </row>
    <row r="14" customFormat="1" ht="141" customHeight="1" spans="1:12">
      <c r="A14" s="14">
        <v>10</v>
      </c>
      <c r="B14" s="14" t="s">
        <v>14</v>
      </c>
      <c r="C14" s="14" t="s">
        <v>34</v>
      </c>
      <c r="D14" s="14" t="s">
        <v>48</v>
      </c>
      <c r="E14" s="14" t="s">
        <v>26</v>
      </c>
      <c r="F14" s="16" t="s">
        <v>49</v>
      </c>
      <c r="G14" s="14">
        <v>561</v>
      </c>
      <c r="H14" s="15">
        <v>18513</v>
      </c>
      <c r="I14" s="22" t="s">
        <v>50</v>
      </c>
      <c r="J14" s="14" t="s">
        <v>33</v>
      </c>
      <c r="K14" s="5"/>
      <c r="L14" s="14" t="s">
        <v>33</v>
      </c>
    </row>
    <row r="15" customFormat="1" ht="142" customHeight="1" spans="1:12">
      <c r="A15" s="14">
        <v>11</v>
      </c>
      <c r="B15" s="14" t="s">
        <v>14</v>
      </c>
      <c r="C15" s="14" t="s">
        <v>34</v>
      </c>
      <c r="D15" s="14" t="s">
        <v>51</v>
      </c>
      <c r="E15" s="14" t="s">
        <v>26</v>
      </c>
      <c r="F15" s="16" t="s">
        <v>52</v>
      </c>
      <c r="G15" s="14">
        <v>1734</v>
      </c>
      <c r="H15" s="15">
        <v>65892</v>
      </c>
      <c r="I15" s="22" t="s">
        <v>53</v>
      </c>
      <c r="J15" s="14" t="s">
        <v>33</v>
      </c>
      <c r="K15" s="5"/>
      <c r="L15" s="14" t="s">
        <v>33</v>
      </c>
    </row>
    <row r="16" s="1" customFormat="1" ht="128" customHeight="1" spans="1:12">
      <c r="A16" s="14">
        <v>12</v>
      </c>
      <c r="B16" s="14" t="s">
        <v>14</v>
      </c>
      <c r="C16" s="14" t="s">
        <v>34</v>
      </c>
      <c r="D16" s="14" t="s">
        <v>54</v>
      </c>
      <c r="E16" s="14" t="s">
        <v>26</v>
      </c>
      <c r="F16" s="16" t="s">
        <v>55</v>
      </c>
      <c r="G16" s="14">
        <v>7882</v>
      </c>
      <c r="H16" s="15">
        <v>34978</v>
      </c>
      <c r="I16" s="22" t="s">
        <v>56</v>
      </c>
      <c r="J16" s="14" t="s">
        <v>57</v>
      </c>
      <c r="K16" s="5"/>
      <c r="L16" s="14" t="s">
        <v>57</v>
      </c>
    </row>
    <row r="17" s="1" customFormat="1" ht="116" customHeight="1" spans="1:12">
      <c r="A17" s="14">
        <v>13</v>
      </c>
      <c r="B17" s="14" t="s">
        <v>14</v>
      </c>
      <c r="C17" s="14" t="s">
        <v>34</v>
      </c>
      <c r="D17" s="14" t="s">
        <v>58</v>
      </c>
      <c r="E17" s="14" t="s">
        <v>26</v>
      </c>
      <c r="F17" s="16" t="s">
        <v>59</v>
      </c>
      <c r="G17" s="14">
        <v>5853</v>
      </c>
      <c r="H17" s="15">
        <v>23412</v>
      </c>
      <c r="I17" s="22" t="s">
        <v>60</v>
      </c>
      <c r="J17" s="14" t="s">
        <v>57</v>
      </c>
      <c r="K17" s="5"/>
      <c r="L17" s="14" t="s">
        <v>57</v>
      </c>
    </row>
    <row r="18" s="1" customFormat="1" ht="219" customHeight="1" spans="1:12">
      <c r="A18" s="14">
        <v>14</v>
      </c>
      <c r="B18" s="14" t="s">
        <v>14</v>
      </c>
      <c r="C18" s="14" t="s">
        <v>34</v>
      </c>
      <c r="D18" s="14" t="s">
        <v>61</v>
      </c>
      <c r="E18" s="14" t="s">
        <v>26</v>
      </c>
      <c r="F18" s="16" t="s">
        <v>62</v>
      </c>
      <c r="G18" s="14">
        <v>616</v>
      </c>
      <c r="H18" s="15">
        <v>17249</v>
      </c>
      <c r="I18" s="22" t="s">
        <v>63</v>
      </c>
      <c r="J18" s="14" t="s">
        <v>33</v>
      </c>
      <c r="K18" s="5"/>
      <c r="L18" s="14" t="s">
        <v>33</v>
      </c>
    </row>
    <row r="19" s="1" customFormat="1" ht="155" customHeight="1" spans="1:12">
      <c r="A19" s="14">
        <v>15</v>
      </c>
      <c r="B19" s="14" t="s">
        <v>14</v>
      </c>
      <c r="C19" s="14" t="s">
        <v>34</v>
      </c>
      <c r="D19" s="14" t="s">
        <v>64</v>
      </c>
      <c r="E19" s="14" t="s">
        <v>26</v>
      </c>
      <c r="F19" s="16" t="s">
        <v>65</v>
      </c>
      <c r="G19" s="14">
        <v>999</v>
      </c>
      <c r="H19" s="15">
        <v>18981</v>
      </c>
      <c r="I19" s="22" t="s">
        <v>66</v>
      </c>
      <c r="J19" s="14" t="s">
        <v>33</v>
      </c>
      <c r="K19" s="5"/>
      <c r="L19" s="14" t="s">
        <v>33</v>
      </c>
    </row>
    <row r="20" s="1" customFormat="1" ht="151" customHeight="1" spans="1:12">
      <c r="A20" s="14">
        <v>16</v>
      </c>
      <c r="B20" s="14" t="s">
        <v>14</v>
      </c>
      <c r="C20" s="14" t="s">
        <v>34</v>
      </c>
      <c r="D20" s="14" t="s">
        <v>67</v>
      </c>
      <c r="E20" s="14" t="s">
        <v>26</v>
      </c>
      <c r="F20" s="16" t="s">
        <v>68</v>
      </c>
      <c r="G20" s="14">
        <v>19814</v>
      </c>
      <c r="H20" s="15">
        <v>267224</v>
      </c>
      <c r="I20" s="22" t="s">
        <v>69</v>
      </c>
      <c r="J20" s="14" t="s">
        <v>41</v>
      </c>
      <c r="K20" s="5"/>
      <c r="L20" s="14" t="s">
        <v>41</v>
      </c>
    </row>
    <row r="21" s="1" customFormat="1" ht="121" customHeight="1" spans="1:12">
      <c r="A21" s="18">
        <v>17</v>
      </c>
      <c r="B21" s="14" t="s">
        <v>14</v>
      </c>
      <c r="C21" s="14" t="s">
        <v>34</v>
      </c>
      <c r="D21" s="14" t="s">
        <v>70</v>
      </c>
      <c r="E21" s="14" t="s">
        <v>26</v>
      </c>
      <c r="F21" s="16" t="s">
        <v>71</v>
      </c>
      <c r="G21" s="14">
        <v>48</v>
      </c>
      <c r="H21" s="15">
        <v>336</v>
      </c>
      <c r="I21" s="22" t="s">
        <v>72</v>
      </c>
      <c r="J21" s="14" t="s">
        <v>57</v>
      </c>
      <c r="K21" s="5"/>
      <c r="L21" s="14" t="s">
        <v>57</v>
      </c>
    </row>
    <row r="22" s="1" customFormat="1" ht="113" customHeight="1" spans="1:12">
      <c r="A22" s="18">
        <v>18</v>
      </c>
      <c r="B22" s="14" t="s">
        <v>14</v>
      </c>
      <c r="C22" s="14" t="s">
        <v>34</v>
      </c>
      <c r="D22" s="14" t="s">
        <v>73</v>
      </c>
      <c r="E22" s="14" t="s">
        <v>26</v>
      </c>
      <c r="F22" s="16" t="s">
        <v>74</v>
      </c>
      <c r="G22" s="15">
        <v>53</v>
      </c>
      <c r="H22" s="15">
        <v>318</v>
      </c>
      <c r="I22" s="22" t="s">
        <v>75</v>
      </c>
      <c r="J22" s="14" t="s">
        <v>57</v>
      </c>
      <c r="K22" s="5"/>
      <c r="L22" s="14" t="s">
        <v>57</v>
      </c>
    </row>
    <row r="23" customFormat="1" ht="109" customHeight="1" spans="1:12">
      <c r="A23" s="14">
        <v>19</v>
      </c>
      <c r="B23" s="14" t="s">
        <v>14</v>
      </c>
      <c r="C23" s="14" t="s">
        <v>34</v>
      </c>
      <c r="D23" s="14" t="s">
        <v>76</v>
      </c>
      <c r="E23" s="14" t="s">
        <v>26</v>
      </c>
      <c r="F23" s="16" t="s">
        <v>77</v>
      </c>
      <c r="G23" s="14">
        <v>9641</v>
      </c>
      <c r="H23" s="15">
        <v>154630</v>
      </c>
      <c r="I23" s="22" t="s">
        <v>78</v>
      </c>
      <c r="J23" s="14" t="s">
        <v>41</v>
      </c>
      <c r="K23" s="5"/>
      <c r="L23" s="14" t="s">
        <v>41</v>
      </c>
    </row>
    <row r="24" customFormat="1" ht="123" customHeight="1" spans="1:12">
      <c r="A24" s="18">
        <v>20</v>
      </c>
      <c r="B24" s="14" t="s">
        <v>14</v>
      </c>
      <c r="C24" s="14" t="s">
        <v>34</v>
      </c>
      <c r="D24" s="14" t="s">
        <v>79</v>
      </c>
      <c r="E24" s="14" t="s">
        <v>26</v>
      </c>
      <c r="F24" s="16" t="s">
        <v>80</v>
      </c>
      <c r="G24" s="14">
        <v>2346</v>
      </c>
      <c r="H24" s="15">
        <v>100878</v>
      </c>
      <c r="I24" s="22" t="s">
        <v>81</v>
      </c>
      <c r="J24" s="14"/>
      <c r="K24" s="5"/>
      <c r="L24" s="14"/>
    </row>
    <row r="25" customFormat="1" ht="108" customHeight="1" spans="1:12">
      <c r="A25" s="18">
        <v>21</v>
      </c>
      <c r="B25" s="14" t="s">
        <v>14</v>
      </c>
      <c r="C25" s="14" t="s">
        <v>34</v>
      </c>
      <c r="D25" s="14" t="s">
        <v>82</v>
      </c>
      <c r="E25" s="14" t="s">
        <v>26</v>
      </c>
      <c r="F25" s="16" t="s">
        <v>83</v>
      </c>
      <c r="G25" s="14">
        <v>6426</v>
      </c>
      <c r="H25" s="15">
        <v>140904</v>
      </c>
      <c r="I25" s="22" t="s">
        <v>84</v>
      </c>
      <c r="J25" s="14" t="s">
        <v>33</v>
      </c>
      <c r="K25" s="5"/>
      <c r="L25" s="14" t="s">
        <v>33</v>
      </c>
    </row>
    <row r="26" customFormat="1" ht="107" customHeight="1" spans="1:12">
      <c r="A26" s="18">
        <v>22</v>
      </c>
      <c r="B26" s="14" t="s">
        <v>14</v>
      </c>
      <c r="C26" s="14" t="s">
        <v>34</v>
      </c>
      <c r="D26" s="14" t="s">
        <v>85</v>
      </c>
      <c r="E26" s="14" t="s">
        <v>26</v>
      </c>
      <c r="F26" s="16" t="s">
        <v>86</v>
      </c>
      <c r="G26" s="14">
        <v>195</v>
      </c>
      <c r="H26" s="15">
        <v>5460</v>
      </c>
      <c r="I26" s="22" t="s">
        <v>87</v>
      </c>
      <c r="J26" s="14"/>
      <c r="K26" s="5"/>
      <c r="L26" s="14"/>
    </row>
    <row r="27" s="1" customFormat="1" ht="126" customHeight="1" spans="1:12">
      <c r="A27" s="14">
        <v>23</v>
      </c>
      <c r="B27" s="14" t="s">
        <v>14</v>
      </c>
      <c r="C27" s="14" t="s">
        <v>34</v>
      </c>
      <c r="D27" s="14" t="s">
        <v>88</v>
      </c>
      <c r="E27" s="14" t="s">
        <v>26</v>
      </c>
      <c r="F27" s="16" t="s">
        <v>89</v>
      </c>
      <c r="G27" s="14">
        <v>94</v>
      </c>
      <c r="H27" s="15">
        <v>1849.8</v>
      </c>
      <c r="I27" s="22" t="s">
        <v>90</v>
      </c>
      <c r="J27" s="14"/>
      <c r="K27" s="5"/>
      <c r="L27" s="14"/>
    </row>
    <row r="28" s="1" customFormat="1" ht="143" customHeight="1" spans="1:12">
      <c r="A28" s="14">
        <v>24</v>
      </c>
      <c r="B28" s="14" t="s">
        <v>14</v>
      </c>
      <c r="C28" s="14" t="s">
        <v>34</v>
      </c>
      <c r="D28" s="14" t="s">
        <v>91</v>
      </c>
      <c r="E28" s="14" t="s">
        <v>26</v>
      </c>
      <c r="F28" s="16" t="s">
        <v>92</v>
      </c>
      <c r="G28" s="14">
        <v>2264</v>
      </c>
      <c r="H28" s="15">
        <v>116071</v>
      </c>
      <c r="I28" s="22" t="s">
        <v>93</v>
      </c>
      <c r="J28" s="14" t="s">
        <v>57</v>
      </c>
      <c r="K28" s="5"/>
      <c r="L28" s="14" t="s">
        <v>57</v>
      </c>
    </row>
    <row r="29" s="1" customFormat="1" ht="163" customHeight="1" spans="1:12">
      <c r="A29" s="14">
        <v>25</v>
      </c>
      <c r="B29" s="14" t="s">
        <v>14</v>
      </c>
      <c r="C29" s="14" t="s">
        <v>34</v>
      </c>
      <c r="D29" s="14" t="s">
        <v>94</v>
      </c>
      <c r="E29" s="14" t="s">
        <v>26</v>
      </c>
      <c r="F29" s="16" t="s">
        <v>95</v>
      </c>
      <c r="G29" s="14">
        <v>5602</v>
      </c>
      <c r="H29" s="15">
        <v>217869.33</v>
      </c>
      <c r="I29" s="22" t="s">
        <v>96</v>
      </c>
      <c r="J29" s="14" t="s">
        <v>57</v>
      </c>
      <c r="K29" s="5"/>
      <c r="L29" s="14" t="s">
        <v>57</v>
      </c>
    </row>
    <row r="30" s="1" customFormat="1" ht="122" customHeight="1" spans="1:12">
      <c r="A30" s="14">
        <v>26</v>
      </c>
      <c r="B30" s="14" t="s">
        <v>14</v>
      </c>
      <c r="C30" s="14" t="s">
        <v>34</v>
      </c>
      <c r="D30" s="14" t="s">
        <v>97</v>
      </c>
      <c r="E30" s="14" t="s">
        <v>26</v>
      </c>
      <c r="F30" s="16" t="s">
        <v>98</v>
      </c>
      <c r="G30" s="14">
        <v>2046</v>
      </c>
      <c r="H30" s="15">
        <v>35929</v>
      </c>
      <c r="I30" s="22" t="s">
        <v>99</v>
      </c>
      <c r="J30" s="14" t="s">
        <v>57</v>
      </c>
      <c r="K30" s="5"/>
      <c r="L30" s="14" t="s">
        <v>57</v>
      </c>
    </row>
    <row r="31" s="1" customFormat="1" ht="168" customHeight="1" spans="1:12">
      <c r="A31" s="14">
        <v>27</v>
      </c>
      <c r="B31" s="14" t="s">
        <v>14</v>
      </c>
      <c r="C31" s="14" t="s">
        <v>100</v>
      </c>
      <c r="D31" s="14" t="s">
        <v>101</v>
      </c>
      <c r="E31" s="14" t="s">
        <v>26</v>
      </c>
      <c r="F31" s="16" t="s">
        <v>102</v>
      </c>
      <c r="G31" s="14">
        <v>868</v>
      </c>
      <c r="H31" s="15">
        <v>363168.5</v>
      </c>
      <c r="I31" s="22" t="s">
        <v>103</v>
      </c>
      <c r="J31" s="14" t="s">
        <v>33</v>
      </c>
      <c r="K31" s="5"/>
      <c r="L31" s="14" t="s">
        <v>33</v>
      </c>
    </row>
    <row r="32" s="1" customFormat="1" ht="122" customHeight="1" spans="1:12">
      <c r="A32" s="14">
        <v>28</v>
      </c>
      <c r="B32" s="14" t="s">
        <v>14</v>
      </c>
      <c r="C32" s="14" t="s">
        <v>15</v>
      </c>
      <c r="D32" s="14" t="s">
        <v>104</v>
      </c>
      <c r="E32" s="14" t="s">
        <v>105</v>
      </c>
      <c r="F32" s="16" t="s">
        <v>106</v>
      </c>
      <c r="G32" s="14">
        <v>7841</v>
      </c>
      <c r="H32" s="15">
        <v>228657</v>
      </c>
      <c r="I32" s="16" t="s">
        <v>107</v>
      </c>
      <c r="J32" s="14"/>
      <c r="K32" s="5"/>
      <c r="L32" s="14"/>
    </row>
    <row r="33" customFormat="1" ht="235" customHeight="1" spans="1:12">
      <c r="A33" s="14">
        <v>29</v>
      </c>
      <c r="B33" s="14" t="s">
        <v>14</v>
      </c>
      <c r="C33" s="14" t="s">
        <v>15</v>
      </c>
      <c r="D33" s="14" t="s">
        <v>108</v>
      </c>
      <c r="E33" s="14" t="s">
        <v>109</v>
      </c>
      <c r="F33" s="17" t="s">
        <v>110</v>
      </c>
      <c r="G33" s="14">
        <v>319</v>
      </c>
      <c r="H33" s="15">
        <v>10223</v>
      </c>
      <c r="I33" s="22" t="s">
        <v>111</v>
      </c>
      <c r="J33" s="14" t="s">
        <v>33</v>
      </c>
      <c r="K33" s="5"/>
      <c r="L33" s="14" t="s">
        <v>33</v>
      </c>
    </row>
    <row r="34" s="1" customFormat="1" ht="220" customHeight="1" spans="1:12">
      <c r="A34" s="14">
        <v>30</v>
      </c>
      <c r="B34" s="14" t="s">
        <v>14</v>
      </c>
      <c r="C34" s="14" t="s">
        <v>15</v>
      </c>
      <c r="D34" s="14" t="s">
        <v>112</v>
      </c>
      <c r="E34" s="14" t="s">
        <v>109</v>
      </c>
      <c r="F34" s="16" t="s">
        <v>113</v>
      </c>
      <c r="G34" s="14">
        <v>296</v>
      </c>
      <c r="H34" s="15">
        <v>10810</v>
      </c>
      <c r="I34" s="16" t="s">
        <v>114</v>
      </c>
      <c r="J34" s="14"/>
      <c r="K34" s="5"/>
      <c r="L34" s="14"/>
    </row>
    <row r="35" s="1" customFormat="1" ht="111" customHeight="1" spans="1:12">
      <c r="A35" s="14">
        <v>31</v>
      </c>
      <c r="B35" s="14" t="s">
        <v>14</v>
      </c>
      <c r="C35" s="14" t="s">
        <v>15</v>
      </c>
      <c r="D35" s="14" t="s">
        <v>115</v>
      </c>
      <c r="E35" s="14" t="s">
        <v>116</v>
      </c>
      <c r="F35" s="16" t="s">
        <v>117</v>
      </c>
      <c r="G35" s="14">
        <v>622</v>
      </c>
      <c r="H35" s="15">
        <v>90190</v>
      </c>
      <c r="I35" s="22" t="s">
        <v>118</v>
      </c>
      <c r="J35" s="14"/>
      <c r="K35" s="5"/>
      <c r="L35" s="14"/>
    </row>
    <row r="36" s="1" customFormat="1" ht="121" customHeight="1" spans="1:12">
      <c r="A36" s="14">
        <v>32</v>
      </c>
      <c r="B36" s="14" t="s">
        <v>14</v>
      </c>
      <c r="C36" s="14" t="s">
        <v>15</v>
      </c>
      <c r="D36" s="14" t="s">
        <v>119</v>
      </c>
      <c r="E36" s="14" t="s">
        <v>120</v>
      </c>
      <c r="F36" s="16" t="s">
        <v>121</v>
      </c>
      <c r="G36" s="14">
        <v>2995</v>
      </c>
      <c r="H36" s="15">
        <v>95840</v>
      </c>
      <c r="I36" s="22" t="s">
        <v>122</v>
      </c>
      <c r="J36" s="14" t="s">
        <v>33</v>
      </c>
      <c r="K36" s="5"/>
      <c r="L36" s="14" t="s">
        <v>33</v>
      </c>
    </row>
    <row r="37" s="1" customFormat="1" ht="199" customHeight="1" spans="1:12">
      <c r="A37" s="14">
        <v>33</v>
      </c>
      <c r="B37" s="14" t="s">
        <v>123</v>
      </c>
      <c r="C37" s="14" t="s">
        <v>124</v>
      </c>
      <c r="D37" s="14" t="s">
        <v>125</v>
      </c>
      <c r="E37" s="14" t="s">
        <v>126</v>
      </c>
      <c r="F37" s="16" t="s">
        <v>127</v>
      </c>
      <c r="G37" s="14">
        <v>219</v>
      </c>
      <c r="H37" s="15">
        <v>8290</v>
      </c>
      <c r="I37" s="16" t="s">
        <v>128</v>
      </c>
      <c r="J37" s="14"/>
      <c r="K37" s="5"/>
      <c r="L37" s="14"/>
    </row>
    <row r="38" s="1" customFormat="1" ht="128" customHeight="1" spans="1:12">
      <c r="A38" s="14">
        <v>34</v>
      </c>
      <c r="B38" s="14" t="s">
        <v>123</v>
      </c>
      <c r="C38" s="14" t="s">
        <v>124</v>
      </c>
      <c r="D38" s="14" t="s">
        <v>104</v>
      </c>
      <c r="E38" s="14" t="s">
        <v>126</v>
      </c>
      <c r="F38" s="16" t="s">
        <v>129</v>
      </c>
      <c r="G38" s="14" t="s">
        <v>130</v>
      </c>
      <c r="H38" s="15" t="s">
        <v>130</v>
      </c>
      <c r="I38" s="22" t="s">
        <v>122</v>
      </c>
      <c r="J38" s="14"/>
      <c r="K38" s="5"/>
      <c r="L38" s="14"/>
    </row>
    <row r="39" s="1" customFormat="1" ht="124" customHeight="1" spans="1:12">
      <c r="A39" s="14">
        <v>35</v>
      </c>
      <c r="B39" s="14" t="s">
        <v>123</v>
      </c>
      <c r="C39" s="14" t="s">
        <v>124</v>
      </c>
      <c r="D39" s="14" t="s">
        <v>131</v>
      </c>
      <c r="E39" s="14" t="s">
        <v>126</v>
      </c>
      <c r="F39" s="16" t="s">
        <v>132</v>
      </c>
      <c r="G39" s="14" t="s">
        <v>130</v>
      </c>
      <c r="H39" s="15" t="s">
        <v>130</v>
      </c>
      <c r="I39" s="22" t="s">
        <v>122</v>
      </c>
      <c r="J39" s="14"/>
      <c r="K39" s="5"/>
      <c r="L39" s="14"/>
    </row>
    <row r="40" s="1" customFormat="1" ht="125" customHeight="1" spans="1:12">
      <c r="A40" s="14">
        <v>36</v>
      </c>
      <c r="B40" s="14" t="s">
        <v>123</v>
      </c>
      <c r="C40" s="14" t="s">
        <v>124</v>
      </c>
      <c r="D40" s="14" t="s">
        <v>133</v>
      </c>
      <c r="E40" s="14" t="s">
        <v>105</v>
      </c>
      <c r="F40" s="17" t="s">
        <v>134</v>
      </c>
      <c r="G40" s="14" t="s">
        <v>130</v>
      </c>
      <c r="H40" s="15" t="s">
        <v>130</v>
      </c>
      <c r="I40" s="22" t="s">
        <v>122</v>
      </c>
      <c r="J40" s="14"/>
      <c r="K40" s="5"/>
      <c r="L40" s="14"/>
    </row>
    <row r="41" s="1" customFormat="1" ht="113" customHeight="1" spans="1:12">
      <c r="A41" s="14">
        <v>37</v>
      </c>
      <c r="B41" s="14" t="s">
        <v>123</v>
      </c>
      <c r="C41" s="14" t="s">
        <v>124</v>
      </c>
      <c r="D41" s="14" t="s">
        <v>135</v>
      </c>
      <c r="E41" s="14" t="s">
        <v>109</v>
      </c>
      <c r="F41" s="16" t="s">
        <v>136</v>
      </c>
      <c r="G41" s="14" t="s">
        <v>130</v>
      </c>
      <c r="H41" s="15" t="s">
        <v>130</v>
      </c>
      <c r="I41" s="22" t="s">
        <v>122</v>
      </c>
      <c r="J41" s="14"/>
      <c r="K41" s="5"/>
      <c r="L41" s="14"/>
    </row>
    <row r="42" customFormat="1" ht="121" customHeight="1" spans="1:12">
      <c r="A42" s="14">
        <v>38</v>
      </c>
      <c r="B42" s="14" t="s">
        <v>123</v>
      </c>
      <c r="C42" s="14" t="s">
        <v>124</v>
      </c>
      <c r="D42" s="14" t="s">
        <v>137</v>
      </c>
      <c r="E42" s="14" t="s">
        <v>109</v>
      </c>
      <c r="F42" s="16" t="s">
        <v>138</v>
      </c>
      <c r="G42" s="14">
        <v>821</v>
      </c>
      <c r="H42" s="15">
        <v>30299</v>
      </c>
      <c r="I42" s="22" t="s">
        <v>139</v>
      </c>
      <c r="J42" s="14"/>
      <c r="K42" s="5"/>
      <c r="L42" s="14"/>
    </row>
    <row r="43" customFormat="1" ht="171" customHeight="1" spans="1:12">
      <c r="A43" s="14">
        <v>39</v>
      </c>
      <c r="B43" s="14" t="s">
        <v>123</v>
      </c>
      <c r="C43" s="14" t="s">
        <v>140</v>
      </c>
      <c r="D43" s="16" t="s">
        <v>141</v>
      </c>
      <c r="E43" s="14" t="s">
        <v>130</v>
      </c>
      <c r="F43" s="16" t="s">
        <v>142</v>
      </c>
      <c r="G43" s="14">
        <v>4152</v>
      </c>
      <c r="H43" s="15">
        <v>14532</v>
      </c>
      <c r="I43" s="22" t="s">
        <v>143</v>
      </c>
      <c r="J43" s="14"/>
      <c r="K43" s="5"/>
      <c r="L43" s="14"/>
    </row>
    <row r="44" ht="35" customHeight="1" spans="1:12">
      <c r="A44" s="14"/>
      <c r="B44" s="14"/>
      <c r="C44" s="14"/>
      <c r="D44" s="14"/>
      <c r="E44" s="14"/>
      <c r="F44" s="14"/>
      <c r="G44" s="14"/>
      <c r="H44" s="15">
        <f>SUM(H1:H43)</f>
        <v>2972732.23</v>
      </c>
      <c r="I44" s="22"/>
      <c r="J44" s="14"/>
      <c r="L44" s="14"/>
    </row>
    <row r="45" ht="37" customHeight="1" spans="1:12">
      <c r="A45" s="19" t="s">
        <v>144</v>
      </c>
      <c r="B45" s="19"/>
      <c r="C45" s="20"/>
      <c r="D45" s="19"/>
      <c r="E45" s="19"/>
      <c r="F45" s="19"/>
      <c r="G45" s="19"/>
      <c r="H45" s="21"/>
      <c r="I45" s="19"/>
      <c r="J45" s="19"/>
      <c r="L45" s="19"/>
    </row>
  </sheetData>
  <autoFilter xmlns:etc="http://www.wps.cn/officeDocument/2017/etCustomData" ref="A4:L45" etc:filterBottomFollowUsedRange="0">
    <extLst/>
  </autoFilter>
  <mergeCells count="4">
    <mergeCell ref="A1:J1"/>
    <mergeCell ref="A2:J2"/>
    <mergeCell ref="A3:J3"/>
    <mergeCell ref="A45:J45"/>
  </mergeCells>
  <pageMargins left="0.708661417322835" right="0.708661417322835" top="0.550694444444444" bottom="0.708333333333333" header="0.31496062992126" footer="0.31496062992126"/>
  <pageSetup paperSize="9" scale="76"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XFD1048576"/>
    </sheetView>
  </sheetViews>
  <sheetFormatPr defaultColWidth="8.89166666666667" defaultRowHeight="14.2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2</vt:i4>
      </vt:variant>
    </vt:vector>
  </HeadingPairs>
  <TitlesOfParts>
    <vt:vector size="2" baseType="lpstr">
      <vt:lpstr>9.19</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胡江龙</cp:lastModifiedBy>
  <dcterms:created xsi:type="dcterms:W3CDTF">2023-08-29T00:52:00Z</dcterms:created>
  <cp:lastPrinted>2024-04-30T02:19:00Z</cp:lastPrinted>
  <dcterms:modified xsi:type="dcterms:W3CDTF">2025-12-15T03:39:36Z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1F8FDDC9AA4A41DC9947A1C419D35580_13</vt:lpwstr>
  </property>
  <property fmtid="{D5CDD505-2E9C-101B-9397-08002B2CF9AE}" pid="4" name="KSOReadingLayout">
    <vt:bool>true</vt:bool>
  </property>
</Properties>
</file>