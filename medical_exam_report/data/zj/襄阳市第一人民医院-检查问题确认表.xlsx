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9.19" sheetId="13" r:id="rId1"/>
    <sheet name="Sheet1" sheetId="10" r:id="rId2"/>
  </sheets>
  <definedNames>
    <definedName name="_xlnm._FilterDatabase" localSheetId="0" hidden="1">'9.19'!$A$4:$L$36</definedName>
    <definedName name="_xlnm.Print_Titles" localSheetId="0">'9.19'!$1:$4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<sst xmlns="http://schemas.openxmlformats.org/spreadsheetml/2006/main" count="211" uniqueCount="121">
  <si>
    <t>襄阳市医保基金专项检查情况问题确认表</t>
  </si>
  <si>
    <t>被检地：襄阳市                            检查时期范围:2023年１月1日-2025年9月30日　　   　　              检查时间：2025年10月30日至11月1日</t>
  </si>
  <si>
    <t>被检机构名称（盖章）：襄阳市第一人民医院          统一社会信用代码：12420600420424272U             　　　　　　　　　医疗机构等级：三级</t>
  </si>
  <si>
    <t>序号</t>
  </si>
  <si>
    <r>
      <rPr>
        <sz val="11"/>
        <color theme="1"/>
        <rFont val="仿宋"/>
        <charset val="134"/>
      </rPr>
      <t xml:space="preserve">问题类别 </t>
    </r>
    <r>
      <rPr>
        <sz val="11"/>
        <color theme="1"/>
        <rFont val="仿宋"/>
        <charset val="134"/>
      </rPr>
      <t xml:space="preserve">     </t>
    </r>
    <r>
      <rPr>
        <sz val="11"/>
        <color theme="1"/>
        <rFont val="仿宋"/>
        <charset val="134"/>
      </rPr>
      <t xml:space="preserve"> （一级指标）</t>
    </r>
  </si>
  <si>
    <r>
      <rPr>
        <sz val="11"/>
        <color theme="1"/>
        <rFont val="仿宋"/>
        <charset val="134"/>
      </rPr>
      <t xml:space="preserve">问题类别 </t>
    </r>
    <r>
      <rPr>
        <sz val="11"/>
        <color theme="1"/>
        <rFont val="仿宋"/>
        <charset val="134"/>
      </rPr>
      <t xml:space="preserve">  </t>
    </r>
    <r>
      <rPr>
        <sz val="11"/>
        <color theme="1"/>
        <rFont val="仿宋"/>
        <charset val="134"/>
      </rPr>
      <t>（二级指标）</t>
    </r>
  </si>
  <si>
    <t>问题项目</t>
  </si>
  <si>
    <t>违规科室</t>
  </si>
  <si>
    <t>问题情形描述</t>
  </si>
  <si>
    <t>问题
数量</t>
  </si>
  <si>
    <t>问题
金额
（元）</t>
  </si>
  <si>
    <t>认定依据</t>
  </si>
  <si>
    <t>备注</t>
  </si>
  <si>
    <t>省清单序号</t>
  </si>
  <si>
    <t>一般违规问题</t>
  </si>
  <si>
    <t>重复收费</t>
  </si>
  <si>
    <t>上颌骨部分切除术（编码330605009）
下颌骨部分切除术（编码330605005）</t>
  </si>
  <si>
    <t>口腔科</t>
  </si>
  <si>
    <r>
      <rPr>
        <sz val="11"/>
        <color theme="1"/>
        <rFont val="仿宋"/>
        <charset val="134"/>
      </rPr>
      <t>颌骨囊肿等良性病变的治疗过程通常开展颌骨良性病变切除术，而上、下颌骨部分切除术可视为其在颌骨区域的具体实施方式之一</t>
    </r>
    <r>
      <rPr>
        <sz val="11"/>
        <color theme="1"/>
        <rFont val="Times New Roman"/>
        <charset val="134"/>
      </rPr>
      <t>‌</t>
    </r>
    <r>
      <rPr>
        <sz val="11"/>
        <color theme="1"/>
        <rFont val="宋体"/>
        <charset val="134"/>
      </rPr>
      <t>。</t>
    </r>
    <r>
      <rPr>
        <sz val="11"/>
        <color theme="1"/>
        <rFont val="仿宋"/>
        <charset val="134"/>
      </rPr>
      <t xml:space="preserve">
颌骨囊肿等良性病变行颌骨良性病变切除术的同时重复收取上、下颌骨部分切除术费用，共116.2次123291元。例：刘秀英，住院号0001451738、龙忠，住院号0001453463、郑代朝，住院号0001385684。</t>
    </r>
  </si>
  <si>
    <t>根据《襄阳市医疗服务项目价格手册2022版》《襄阳市医疗服务项目价格目录（2024版）》，颌骨良性病变切除术项目内涵：包括上、下颌骨骨髓炎、良性肿瘤、瘤样病变及各类囊肿的切除术(含刮治术)；不含松质骨或骨替代物的植入。
上颌骨部分切除术项目内涵：含牙槽突水平以内上颌骨及其邻近软组织区域性切除。
下颌骨部分切除术项目内涵：包括下颌骨方块及区段切除；不含颌骨缺损修复。</t>
  </si>
  <si>
    <t>连续性血浆滤过吸附（编码311000009）</t>
  </si>
  <si>
    <t>肾病内科</t>
  </si>
  <si>
    <t>开展连续性肾脏替代治疗（CRT）的同时，重复收取连续性血浆滤过吸附（CPFA）费用，扣减使用血浆滤过器合理治疗情况，2925次1901250元。例：邓长江，住院号0001465776。</t>
  </si>
  <si>
    <t>根据《全国医疗服务项目技术规范（2023年版）》，连续性肾脏替代治疗项目内涵：利用专业设备，使用连续床旁血液净化机和相应管路，将患者血液引出体外，对患者进行连续肾脏替代(连续性血液净化)治疗。含连续性血液滤过、连续性血液透析、连续性血液透析滤过、缓慢单纯超滤、高容量血液滤过、缓慢低流量每日透析等。根据病情不同，治疗时间可以从数小时到数十小时不间断治疗。</t>
  </si>
  <si>
    <t>数量</t>
  </si>
  <si>
    <t>仰卧位安置技术（编码331700007x）</t>
  </si>
  <si>
    <t>仰卧位安置技术一般在全麻下开展，血液透析使用局麻，不适合将膝部、手部约束。2023年1月1日至2025年9月30日，在局麻下开展仰卧位安置技术，涉及268次46632元。例：颜光学，住院号0001489259。</t>
  </si>
  <si>
    <t>根据《襄阳市医疗服务项目价格手册2022版》《襄阳市医疗服务项目价格目录（2024版）》，仰卧位安置技术项目内涵：检查床单位；将核对好的病人安置在手术床上；置膝枕于膝下，膝约束带固定，检查松紧度；双手放置搁手板，手约束带固定，检查松紧度。功能性敷料。硅胶记忆海绵床垫。硅胶头圈。。</t>
  </si>
  <si>
    <t>违反诊疗规范过度诊疗</t>
  </si>
  <si>
    <t>B型钠尿肽（BNP）测定（编码250306012）
B型钠尿肽前体（PRO-BNP）测定（编码250306013）</t>
  </si>
  <si>
    <t>综合住院</t>
  </si>
  <si>
    <r>
      <rPr>
        <sz val="11"/>
        <color theme="1"/>
        <rFont val="Calibri"/>
        <charset val="134"/>
      </rPr>
      <t>①</t>
    </r>
    <r>
      <rPr>
        <sz val="11"/>
        <color theme="1"/>
        <rFont val="仿宋"/>
        <charset val="134"/>
      </rPr>
      <t>B型钠尿肽定量（BNP)、B型钠尿肽前体（proBNP）临床意义相近，在诊断心衰方面任选其一即可，开展B型钠尿肽的同时无指征收取B型钠尿肽前体测定费用属于过度检查，共涉及</t>
    </r>
    <r>
      <rPr>
        <sz val="11"/>
        <color theme="1"/>
        <rFont val="Calibri"/>
        <charset val="134"/>
      </rPr>
      <t>90</t>
    </r>
    <r>
      <rPr>
        <sz val="11"/>
        <color theme="1"/>
        <rFont val="仿宋"/>
        <charset val="134"/>
      </rPr>
      <t>次</t>
    </r>
    <r>
      <rPr>
        <sz val="11"/>
        <color theme="1"/>
        <rFont val="Calibri"/>
        <charset val="134"/>
      </rPr>
      <t>12612</t>
    </r>
    <r>
      <rPr>
        <sz val="11"/>
        <color theme="1"/>
        <rFont val="仿宋"/>
        <charset val="134"/>
      </rPr>
      <t xml:space="preserve">元。例：任书苒，住院号0001646291、靖逸凯，住院号0001525167。
</t>
    </r>
    <r>
      <rPr>
        <sz val="11"/>
        <color theme="1"/>
        <rFont val="Calibri"/>
        <charset val="134"/>
      </rPr>
      <t>②</t>
    </r>
    <r>
      <rPr>
        <sz val="11"/>
        <color theme="1"/>
        <rFont val="仿宋"/>
        <charset val="134"/>
      </rPr>
      <t>B型钠尿肽前体(PRO-BNP)测定，一个自然天&gt;1次，共</t>
    </r>
    <r>
      <rPr>
        <sz val="11"/>
        <color theme="1"/>
        <rFont val="Calibri"/>
        <charset val="134"/>
      </rPr>
      <t>539</t>
    </r>
    <r>
      <rPr>
        <sz val="11"/>
        <color theme="1"/>
        <rFont val="仿宋"/>
        <charset val="134"/>
      </rPr>
      <t>次</t>
    </r>
    <r>
      <rPr>
        <sz val="11"/>
        <color theme="1"/>
        <rFont val="Calibri"/>
        <charset val="134"/>
      </rPr>
      <t>98210</t>
    </r>
    <r>
      <rPr>
        <sz val="11"/>
        <color theme="1"/>
        <rFont val="仿宋"/>
        <charset val="134"/>
      </rPr>
      <t xml:space="preserve">元。
</t>
    </r>
    <r>
      <rPr>
        <sz val="11"/>
        <color theme="1"/>
        <rFont val="Calibri"/>
        <charset val="134"/>
      </rPr>
      <t>③</t>
    </r>
    <r>
      <rPr>
        <sz val="11"/>
        <color theme="1"/>
        <rFont val="仿宋"/>
        <charset val="134"/>
      </rPr>
      <t>B型钠尿肽（BNP）测定，一个自然天&gt;1次，共</t>
    </r>
    <r>
      <rPr>
        <sz val="11"/>
        <color theme="1"/>
        <rFont val="Calibri"/>
        <charset val="134"/>
      </rPr>
      <t>2839</t>
    </r>
    <r>
      <rPr>
        <sz val="11"/>
        <color theme="1"/>
        <rFont val="仿宋"/>
        <charset val="134"/>
      </rPr>
      <t>次</t>
    </r>
    <r>
      <rPr>
        <sz val="11"/>
        <color theme="1"/>
        <rFont val="Calibri"/>
        <charset val="134"/>
      </rPr>
      <t>364041</t>
    </r>
    <r>
      <rPr>
        <sz val="11"/>
        <color theme="1"/>
        <rFont val="仿宋"/>
        <charset val="134"/>
      </rPr>
      <t>元。</t>
    </r>
  </si>
  <si>
    <t>根据诊疗常规。 过度检查 示例：B型纳尿肽定量（BNP)、B型钠尿肽前体（proBNP）临床意义相近，在诊断心衰方面任选其一即可。某医院普遍同时对患者开展BNP、proBNP两种项目检验，属于过度检查。</t>
  </si>
  <si>
    <t>B型钠尿肽（BNP）测定（编码250306012）</t>
  </si>
  <si>
    <t>B型纳尿肽定量一般用于心衰诊断、危险分级、疗效监测和预后评估，常适用于心血管疾病、肺部疾病、肾病等疾病，医院部分科室将B型钠尿肽等测定作为入院患者的常规检查，对大量无相关疾病指征的患者开展检验，属于过度检查，共涉及137次19526元。例：任书苒，住院号0001646291、靖逸凯，住院号0001525167。</t>
  </si>
  <si>
    <t>根据诊疗常规。 过度检查 示例：B型纳尿肽定量（BNP)一般用于心衰诊断、危险分级、疗效监测和预后评估，常适用于心血管疾病、肺部疾病、肾病等疾病。某医院为住院患者普遍无指征开展BNP，属于过度检查。</t>
  </si>
  <si>
    <t>B型钠尿肽前体（PRO-BNP）测定（编码250306013）</t>
  </si>
  <si>
    <t>B型钠尿肽前体一般用于心衰诊断、危险分级、疗效监测和预后评估，常适用于心血管疾病、肺部疾病、肾病等疾病，医院部分科室将B型钠尿肽前体作为入院患者的常规检查，对大量无相关疾病指征的患者开展检验，属于过度检查，共涉及137次19526元。例：任书苒，住院号0001646291、靖逸凯，住院号0001525167。</t>
  </si>
  <si>
    <t>根据诊疗常规。 过度检查 示例：B型钠尿肽前体（proBNP）一般用于心衰诊断、危险分级、疗效监测和预后评估，常适用于心血管疾病、肺部疾病、肾病等疾病。某医院为住院患者普遍无指征开展pro-BNP测定，属于过度检查。</t>
  </si>
  <si>
    <t>糖化血红蛋白测定（编码250302003）</t>
  </si>
  <si>
    <t>医院将糖化血红蛋白测定作为入院患者的常规检查，对大量无相关疾病指征的患者开展检验并收费；或某患者一次较短住院期间内反复进行多次糖化血红蛋白测定，共涉及1001次63389元。例：张沛，住院号0001534380、刘俊逸，住院号0001530785、薛福铭，住院号0001531265。</t>
  </si>
  <si>
    <t>根据诊疗常规。 过度检查 示例：糖化血红蛋白一般用于反映糖尿病患者的血糖控制情况，在一定时间内比较稳定，无需反复测定。某医院将该项目作为入院常规检查，向大量患者普遍开具；同时在同一患者一次较短住院期间内，反复进行多次进行测定，属于过度检查。</t>
  </si>
  <si>
    <t>血浆D-二聚体测定(D-Dimer)（编码250203066）</t>
  </si>
  <si>
    <t>皮肤科
康复科</t>
  </si>
  <si>
    <t>血浆D-二聚体测定反应患者凝血功能情况，一般用于血栓风险评估中高危患者，排除重症医学科、骨科、外科；排除诊断心脑血管疾病、血栓性疾病、肿瘤、肝病、肿瘤、血液病、重症感染、手术、溶栓治疗，向无指征患者遍开展血浆D-二聚体测定。涉及559次36894元。例：张英，住院号0001594934、吴素勤，住院号0001583926、母运菊，住院号0001656820。</t>
  </si>
  <si>
    <t>根据诊疗常规。 过度检查 示例：血浆D-二聚体测定反应患者凝血功能情况，一般用于血栓风险评估中高危患者，弥漫性血管内凝血、深静脉血栓、心脑血管疾病、肝脏疾病、恶性肿瘤、手术、溶栓治疗等指征监测。某医院将该项目作为入院常规检测项目，向无指征患者普遍开展并收费，属于过度检查。</t>
  </si>
  <si>
    <t>血清总蛋白测定（化学法）（编码250301001）</t>
  </si>
  <si>
    <t>该院为住院患者同时开展肝功能和肾功能组套检测，对同一患者同时进行2次“血清总蛋白测定”，属于过度检查。涉及4601次32113元。</t>
  </si>
  <si>
    <t>根据诊疗常规。 过度检查 示例：某医院肝功能和肾功能组套中均包含“血清总蛋白测定”项目。该院为住院患者同时开展肝功能和肾功能组套检测，对同一患者同时进行2次“血清总蛋白测定”，属于过度检查。</t>
  </si>
  <si>
    <t>白蛋白测定（化学法）（编码250301002）</t>
  </si>
  <si>
    <t>该院为住院患者同时开展肝功能和肾功能组套检测，对同一患者同时进行2次“白蛋白测定”，属于过度检查。涉及4526次27156元。</t>
  </si>
  <si>
    <t>根据诊疗常规。 过度检查 示例：某医院肝功能和肾功能组套中均包含“白蛋白测定”项目。该院为住院患者同时开展肝功能和肾功能组套检测，对同一患者同时进行2次“白蛋白测定”，属于过度检查。</t>
  </si>
  <si>
    <t>血清天门冬氨酸氨基转移酶测定（编码250305008）</t>
  </si>
  <si>
    <t>该院为患者同时开展开展上述检测项目时，对同一患者同时测定2次血清天门冬氨酸氨基转移酶，属于过度检查，涉及11205次67230元。</t>
  </si>
  <si>
    <t>根据诊疗常规。 过度检查 示例：过度检查 示例：某医院肝功能检查和心肌酶谱检测组套中均包含血清天门冬氨酸氨基转移酶测定。该院为患者同时开展开展上述检测项目时，对同一患者同时测定2次血清天门冬氨酸氨基转移酶，属于过度检查。</t>
  </si>
  <si>
    <t>肌钙蛋白Ⅰ测定（编码250306009）</t>
  </si>
  <si>
    <t>对无指征的患者进行肌钙蛋白Ⅰ测定。肌钙蛋白Ⅰ对心肌损伤具有很高的敏感性和特异性，肌钙蛋白Ⅰ测定作为ACS诊断和危险分层的主要依据。排除心血管疾病、胸部手术、高血压危象，共涉及1278次115020元。例：徐小玲，住院号0001519322、薛松，住院号0001519417、吴莲海，住院号0001519345。</t>
  </si>
  <si>
    <t>根据诊疗常规。 过度检查 示例：肌钙蛋白Ⅰ对心肌损伤具有很高的敏感性和特异性，肌钙蛋白Ⅰ测定作为ACS诊断和危险分层的主要依据。某医院对无指征的患者进行肌钙蛋白Ⅰ测定，属于过度检查。</t>
  </si>
  <si>
    <t>不加热血清反应素试验（编码250403055）</t>
  </si>
  <si>
    <t>为开展梅毒螺旋体特异抗体测定患者普遍开具不加热血清反应素试验。 诊疗常规。 过度检查 示例：不加热血清反应素试验一般用于反映梅毒的严重程度和活性。某医院为入院患者同时开具梅毒螺旋体特异抗体测定及不加热血清反应素试验，属于过度检查。，共涉及2653次37142元。例：徐开富，住院号0001589215、杨光英，住院号0001536327、王志兴，住院号0001589371。</t>
  </si>
  <si>
    <t>根据诊疗常规。 过度检查 示例：为开展梅毒螺旋体特异抗体测定患者普遍开具不加热血清反应素试验。 诊疗常规。 过度检查 示例：不加热血清反应素试验一般用于反映梅毒的严重程度和活性。某医院为入院患者同时开具梅毒螺旋体特异抗体测定及不加热血清反应素试验，属于过度检查。</t>
  </si>
  <si>
    <t>血清载脂蛋白AⅠ测定（编码250303007）</t>
  </si>
  <si>
    <t>医院部分科室将血清载脂蛋白AI测定作为入院患者的常规检查，血清载脂蛋白AI可反应体内脂蛋白的情况，对心脑血管疾病、肝胆胰疾病、肾脏疾病、高脂血症、糖尿病、代谢综合症、甲状腺功能疾病、恶性肿瘤等相关疾病具有辅助诊断意义。排除血栓、高脂血症、甲状腺疾病、代谢综合征、心脑血管疾病、肾病综合征、糖尿病、肿瘤、高血压肝病诊断，对无相关疾病指征的患者开展检验。涉及16028次240420元。</t>
  </si>
  <si>
    <t>根据诊疗常规。 过度检查 示例：血清载脂蛋白AI可反应体内脂蛋白的情况，对心脑血管疾病、肝胆胰疾病、肾脏疾病、高脂血症、糖尿病、代谢综合症、甲状腺功能疾病、恶性肿瘤等相关疾病具有辅助诊断意义。某医院将血清载脂蛋白AI测定打包进心肌酶谱，对大量无指征患者普遍开展检查并收费，属于过度检查。</t>
  </si>
  <si>
    <t>血清载脂蛋白B测定（编码250303009）</t>
  </si>
  <si>
    <t>医院部分科室将血清载脂蛋白B测定作为入院患者的常规检查，血清载脂蛋白B用于反映体内脂蛋白情况，对心脑血管疾病、肝胆胰疾病、肾脏疾病、高脂血症、糖尿病、代谢综合症、甲状腺功能疾病、恶性肿瘤等相关疾病具有辅助诊断意义。排除血栓、高脂血症、甲状腺疾病、代谢综合征、心脑血管疾病、肾病综合征、糖尿病、肿瘤、高血压、肝病诊断，对无相关疾病指征的患者开展检验。涉及16028次240420元。</t>
  </si>
  <si>
    <t>根据诊疗常规。 过度检查 示例：血清载脂蛋白B用于反映体内脂蛋白情况，对心脑血管疾病、肝胆胰疾病、肾脏疾病、高脂血症、糖尿病、代谢综合症、甲状腺功能疾病、恶性肿瘤等相关疾病具有辅助诊断意义。某医院将血清载脂蛋白B测定打包进心肌酶谱，对大量无指征患者普遍开展检查并收费，属于过度检查。</t>
  </si>
  <si>
    <t>血清载脂蛋白α测定（编码250303013）</t>
  </si>
  <si>
    <t>血清载脂蛋白α与冠心病发病倾向相关,急性时相反应(如急性心肌梗死、外科手术、急性风湿性关节炎)、缺血性心脑血管疾病、肾病综合征、尿毒症、糖尿病肾病、除肝癌以外恶性肿瘤等均可使它上升。肝脏疾病(慢性肝炎除外)可使血清载脂蛋白α水平下降。高血清载脂蛋白α水平是动脉粥样硬化性疾病的独立危险因素,但在动脉粥样硬化病变形成中,血清载脂蛋白α与ApoB起协同作用。排除血栓、高脂血症、甲状腺疾病、代谢综合征、心脑血管疾病、肾病综合征、糖尿病、肿瘤、高血压、肝病诊断。涉及14404次403312元。</t>
  </si>
  <si>
    <t>根据诊疗常规。 过度检查 血清载脂蛋白α与冠心病发病倾向相关,急性时相反应(如急性心肌梗死、外科手术、急性风湿性关节炎)、缺血性心脑血管疾病、肾病综合征、尿毒症、糖尿病肾病、除肝癌以外恶性肿瘤等均可使它上升。肝脏疾病(慢性肝炎除外)可使血清载脂蛋白α水平下降。高血清载脂蛋白α水平是动脉粥样硬化性疾病的独立危险因素,但在动脉粥样硬化病变形成中,血清载脂蛋白α与ApoB起协同作用。示例：某医院未依据患者病情，无指征打包开展血清载脂蛋白α测定并收费，属于过度检查。</t>
  </si>
  <si>
    <t>无机磷测定（编码250304005）</t>
  </si>
  <si>
    <t>将电解质检测与无机磷测定设置为检查套餐，排除肾病、甲状旁腺疾病、佝偻病、维生素D缺乏、慢性腹泻、代谢性疾病、肠道疾病、肝病、肿瘤诊断，无指征为住院患者普遍进行检测。涉及1491次5464元。例：罗慧，住院号0001524823、张春芽，住院号0001525298、邵梦阳，住院号0001524431。</t>
  </si>
  <si>
    <t>根据诊疗常规。 过度检查 示例：某医院为患者开展电解质检查时，未依据患者病情，无指征打包开展无机磷测定并收费，属于过度检查。</t>
  </si>
  <si>
    <t>镁测定（编码250304006）</t>
  </si>
  <si>
    <t>将电解质检测与镁测定设置为检查套餐，无指征打包开展镁测定并收费，排除外科、老年病人；排除排除肾病、甲状旁腺疾病、佝偻病、维生素D缺乏、慢性腹泻、代谢性疾病、肠道疾病、肝病、肿瘤诊断无指征为住院患者普遍进行检测。涉及1495次7475元。例：郝婧苡，住院号0001536665、王永贵，住院号0001536597、王绪亮，住院号0001537594。</t>
  </si>
  <si>
    <t>根据诊疗常规。 过度检查 示例：某医院为患者开展电解质检查时，未依据患者病情，无指征打包开展镁测定并收费，属于过度检查。</t>
  </si>
  <si>
    <t>尿沉渣定量（数字图像法）（编码250102024）</t>
  </si>
  <si>
    <t>肿瘤科</t>
  </si>
  <si>
    <t>段均付，住院号0001469401、张德华，住院号0001480390、陈海修，住院号0001396328、李邦学，住院号0001371520，无泌尿系统疾病检查尿液分析正常，过度开展尿沉渣定量检查4次68元。</t>
  </si>
  <si>
    <t>根据《医疗保障基金使用监督管理条例》第三十八条 （二）违反诊疗规范过度诊疗、过度检查、分解处方、超量开药、重复开药或者提供其他不必要的医药服务。</t>
  </si>
  <si>
    <t>将不属于医保支付范围的费用纳入医保基金结算</t>
  </si>
  <si>
    <t>注射用矛头蝮蛇血凝酶</t>
  </si>
  <si>
    <t>该药限手术患者或产后出血患者，超范围使用注射用矛头蝮蛇血凝酶并按医保报销。共涉及金额为497支21409.12元。黄永德，住院号0001450495、李邦学，住院号0001371520。</t>
  </si>
  <si>
    <t>200支</t>
  </si>
  <si>
    <t>根据《国家基本医疗保险、工伤保险和生育保险药品目录（2024年）》，注射用矛头蝮蛇血凝酶限定支付范围“限手术患者或产后出血患者”。</t>
  </si>
  <si>
    <t>限定时段</t>
  </si>
  <si>
    <t>悬空灸（编码014400000010000）
砭石治疗（编码PBCD1501）
中药烫熨（编码470000013）</t>
  </si>
  <si>
    <t>中医科</t>
  </si>
  <si>
    <t>现场检查发现自2025年9月15日开始，中医科在同一次治疗过程中，使用火龙罐违规收取悬空灸、砭石治疗、中药烫熨三种不同项目的费用。例：郑文瑄，住院号0001702678。</t>
  </si>
  <si>
    <t>/</t>
  </si>
  <si>
    <t>根据《襄阳市中医针法类、中医外治类、中医类（灸法、拔罐、推拿）及放射检查类医疗服务项目价格及医保支付政策表》，悬空灸项目内涵：由医务人员将施灸制品与皮肤保持一定距离，通过温和的药力和热力进行治疗，促进疏通经络，调和阴阳，扶正祛邪，达到治疗疾病的目的。
根据《全国医疗服务项目技术规范（2023年版）》，砭石治疗项目内涵：根据病情确定施术部位，选择适当的砭石用具，确定施术方法和治疗时间，治疗手法有感、压、㨰、擦、刺、划、叩、刮、扭、旋、振、拔、温、凉、挝等。
烫熨治疗项目内涵：根据患者病情，辨证调配药物，取合适体位，局部清洁、常规消毒，暴露烫熨部位，局部皮肤涂少量凡士林，将中药加热后，迅速用布包裹，然后在特定部位来回移动或反复旋转按摩。药袋温度过低时可更换药袋。密切观察局部皮肤情况，防止烫伤。</t>
  </si>
  <si>
    <t>混合痔铜离子电化学治疗术（编码440000008）</t>
  </si>
  <si>
    <t>肛肠科</t>
  </si>
  <si>
    <t>混合痔铜离子电化学治疗计价单位为“次”，肛肠科患者一次手术不管几个痔核，此项目均按10次收费，存在有虚记收费次数问题。2023年1月1日至2025年9月30日，共涉及5087次529048元。例：张贤俊，住院号0001480992、陈运军，住院号0001448840、刘发坤，住院号0001485404、张林峰，住院号0001475924。</t>
  </si>
  <si>
    <t>根据《全国医疗服务项目技术规范（2023年版）》，混合痔铜离子电化学治疗术项目内涵：指各期内痔及混合痔内痔部分铜离子电化学治疗术。
手术室中，完成麻醉后，手术野消毒铺巾。用喇叭形肛门镜经肛门探查肛管直肠，明确痔核分布，碘伏消毒痔核，铜离子针刺入痔中央的黏膜下，待铜离子电化学治疗仪通电操作完成后，肛管内放置油纱条，外敷纱布，胶布固定。</t>
  </si>
  <si>
    <t>血透监测（编码311000012）</t>
  </si>
  <si>
    <t>该院东院区97台血液透析设备，经核对有38台透析设备不能监测并记录血温、在线尿素监测、血容量、血压值。提取2023年1月1日至2025年9月30日时间段内，东院区透析室共收取血透监测68935次，单价32元/人次，总费用2205920元，按39.17%比例折算，多收血透监测费（无监测记录的）为27005次864160元。例：邓长江，住院号0001465776。</t>
  </si>
  <si>
    <t>根据《医疗器械监督管理条例》第五十五条规定，医疗器械经营企业、使用单位不得经营、使用未依法注册或者备案、无合格证明文件以及过期、失效、淘汰的医疗器械。</t>
  </si>
  <si>
    <t>38/97东院区</t>
  </si>
  <si>
    <t>中药涂擦治疗（编码410000003）
中药塌渍治疗（编码410000008）</t>
  </si>
  <si>
    <t>皮肤科</t>
  </si>
  <si>
    <t>现场检查发现皮肤科熬制草药“麸炒苍术、路路通；艾叶、百部”，加水稀释让患者泡药浴，病历记录无辩证，同时收取中药涂擦治疗、中药塌渍治疗费用，2023年1月1日至2025年9月30日，涉及11366次324012元（其中中药涂擦治疗6420次136064元、中药塌渍治疗4946次187948元）。</t>
  </si>
  <si>
    <t>根据《全国医疗服务项目技术规范（2023年版）》，中药涂擦治疗项目内涵：根据患者病情，辨证调配药物，取合适体位，局部清洁、常规消毒，用力均匀轻柔地涂于患部。
中药塌渍治疗项目内涵：根据患者病情，局部清洁、常规消毒后，辨证调配药物，将药物装于药袋中煎煮，捞出药袋，晾至适当温度 后，放置于局部，或将局部浸于药液中，其上覆盖药袋。</t>
  </si>
  <si>
    <t>红光治疗（编码311400016）
疱病清疮术术（编码410000008）</t>
  </si>
  <si>
    <t>张万英，住院号0001447793，因“头面部水肿型红斑5年，全身散在溃疡伴疼痛1月余”住院，诊断“皮肌炎，皮肤感染”，医嘱开红光治疗bid，疱病清创术qd，住院10天，收取红光治疗88个部位1584元，疱病清疮术86次2064元，结合病情计费部位明显多于医嘱次数，且病程及医嘱均未描述治疗部位。红光治疗多收44次792元，疱病清疮术多收43次1032元，共涉及87次1824元。</t>
  </si>
  <si>
    <t>根据《全国医疗服务项目技术规范（2023年版）》，红光照射治疗项目内涵：指应用红光辐射器对人体病变部位进行体表照射治疗。在理疗室或移动至病房床旁，治疗对象选取舒适体位暴露治疗部位，操作者遵照医嘱调节设备输出参数，将辐射头对准需治疗的部位，相隔适宜距离进行治疗，观察治疗反应，记录治疗单。
全身疱病冲洗清创项目内涵：清理全身性疱病致表皮剥脱性皮损表面分泌物、痂皮等。戴一次性无菌手套，检查、配制相应药物溶液，清理、冲洗创面，用敷料妥善包扎。</t>
  </si>
  <si>
    <t>内部管理问题</t>
  </si>
  <si>
    <t>其他</t>
  </si>
  <si>
    <t>超声波治疗（编码340100017）</t>
  </si>
  <si>
    <t>现场检查发现肛肠科“多功能康复器”全部超出有效期，购入日期2017年10月，使用期限5年，2022年11月超出有效期，任在使用。</t>
  </si>
  <si>
    <t>黑光治疗(PUVA治疗)（编码311400015）</t>
  </si>
  <si>
    <t>现场检查发现皮肤科1台“紫外光照射仪”超出有效期，启用日期2008年8月，最长使用期限不超过10年，2022年2月就超出有效期，任在使用。</t>
  </si>
  <si>
    <t>红外线治疗（编码340100001）</t>
  </si>
  <si>
    <t>现场检查发现皮肤科9台“特定电磁波治疗器”中4台超出有效期，最晚生产日期2019年1月，使用期限3年，2022年2月就超出有效期，任在使用。</t>
  </si>
  <si>
    <t>违反卫生管理政策</t>
  </si>
  <si>
    <t>无中医资质开具中草药医嘱</t>
  </si>
  <si>
    <t>皮肤科由西医医师无中医资质开具“麸炒苍术、路路通；艾叶、百部”等中草药医嘱，患者病程中无会诊、无辩证。</t>
  </si>
  <si>
    <t>根据《医疗机构管理条例》第二十三条　任何单位或者个人，未取得《医疗机构执业许可证》或者未经备案，不得开展诊疗活动。</t>
  </si>
  <si>
    <t>无资质开展中医适宜技术操作</t>
  </si>
  <si>
    <t>皮肤科有3名护士具备中医适宜技术操作资质，其他护士无资质也参与实施中医适宜技术操作。</t>
  </si>
  <si>
    <t xml:space="preserve"> 被检机构负责人接收签字：           　　                检查组签字：                                              　　　　  时间：2025年11月25日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</si>
</sst>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4"/>
      <color theme="1"/>
      <name val="方正小标宋简体"/>
      <charset val="134"/>
    </font>
    <font>
      <sz val="11"/>
      <color theme="1"/>
      <name val="仿宋"/>
      <charset val="134"/>
    </font>
    <font>
      <sz val="11"/>
      <name val="仿宋"/>
      <charset val="134"/>
    </font>
    <font>
      <sz val="11"/>
      <color theme="1"/>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Times New Roman"/>
      <charset val="134"/>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22">
    <xf numFmtId="0" fontId="0" fillId="0" borderId="0" xfId="0">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NumberFormat="1" applyFill="1">
      <alignment vertical="center"/>
    </xf>
    <xf numFmtId="0" fontId="0" fillId="0" borderId="0" xfId="0" applyFill="1" applyAlignment="1">
      <alignment horizontal="center" vertical="center" wrapText="1"/>
    </xf>
    <xf numFmtId="0" fontId="1" fillId="0" borderId="0" xfId="0" applyFont="1" applyFill="1" applyAlignment="1">
      <alignment horizontal="center" vertical="center" wrapText="1"/>
    </xf>
    <xf numFmtId="0" fontId="1" fillId="0" borderId="0" xfId="0" applyNumberFormat="1" applyFont="1" applyFill="1" applyAlignment="1">
      <alignment horizontal="center" vertical="center" wrapText="1"/>
    </xf>
    <xf numFmtId="0" fontId="2" fillId="0" borderId="0" xfId="0" applyFont="1" applyFill="1" applyAlignment="1">
      <alignment horizontal="left" vertical="center" wrapText="1"/>
    </xf>
    <xf numFmtId="0" fontId="2" fillId="0" borderId="0" xfId="0" applyFont="1" applyFill="1" applyAlignment="1">
      <alignment horizontal="center" vertical="center" wrapText="1"/>
    </xf>
    <xf numFmtId="0" fontId="2" fillId="0" borderId="0" xfId="0" applyNumberFormat="1" applyFont="1" applyFill="1" applyAlignment="1">
      <alignment horizontal="left" vertical="center" wrapText="1"/>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NumberFormat="1" applyFont="1" applyFill="1" applyAlignment="1">
      <alignment horizontal="left" vertical="center" wrapText="1"/>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6"/>
  <sheetViews>
    <sheetView tabSelected="1" zoomScale="90" zoomScaleNormal="90" workbookViewId="0">
      <pane ySplit="4" topLeftCell="A33" activePane="bottomLeft" state="frozen"/>
      <selection/>
      <selection pane="bottomLeft" activeCell="H33" sqref="H33"/>
    </sheetView>
  </sheetViews>
  <sheetFormatPr defaultColWidth="9" defaultRowHeight="14.25"/>
  <cols>
    <col min="1" max="1" width="4.66666666666667" style="1" customWidth="1"/>
    <col min="2" max="2" width="16.775" style="1" customWidth="1"/>
    <col min="3" max="3" width="12" style="2" customWidth="1"/>
    <col min="4" max="4" width="15.775" style="1" customWidth="1"/>
    <col min="5" max="5" width="7.775" style="1" customWidth="1"/>
    <col min="6" max="6" width="40.5833333333333" style="1" customWidth="1"/>
    <col min="7" max="7" width="7.775" style="1" customWidth="1"/>
    <col min="8" max="8" width="12.75" style="3" customWidth="1"/>
    <col min="9" max="9" width="40.5833333333333" style="1" customWidth="1"/>
    <col min="10" max="10" width="9.10833333333333" style="1" customWidth="1"/>
    <col min="11" max="11" width="12.8083333333333" style="4" hidden="1" customWidth="1"/>
    <col min="12" max="12" width="9" style="1" hidden="1" customWidth="1"/>
    <col min="13" max="16384" width="9" style="1"/>
  </cols>
  <sheetData>
    <row r="1" ht="38.25" customHeight="1" spans="1:10">
      <c r="A1" s="5" t="s">
        <v>0</v>
      </c>
      <c r="B1" s="5"/>
      <c r="C1" s="5"/>
      <c r="D1" s="5"/>
      <c r="E1" s="5"/>
      <c r="F1" s="5"/>
      <c r="G1" s="5"/>
      <c r="H1" s="6"/>
      <c r="I1" s="5"/>
      <c r="J1" s="5"/>
    </row>
    <row r="2" ht="24" customHeight="1" spans="1:10">
      <c r="A2" s="7" t="s">
        <v>1</v>
      </c>
      <c r="B2" s="7"/>
      <c r="C2" s="8"/>
      <c r="D2" s="7"/>
      <c r="E2" s="7"/>
      <c r="F2" s="7"/>
      <c r="G2" s="7"/>
      <c r="H2" s="9"/>
      <c r="I2" s="7"/>
      <c r="J2" s="7"/>
    </row>
    <row r="3" ht="24" customHeight="1" spans="1:10">
      <c r="A3" s="10" t="s">
        <v>2</v>
      </c>
      <c r="B3" s="10"/>
      <c r="C3" s="11"/>
      <c r="D3" s="10"/>
      <c r="E3" s="10"/>
      <c r="F3" s="10"/>
      <c r="G3" s="10"/>
      <c r="H3" s="12"/>
      <c r="I3" s="10"/>
      <c r="J3" s="10"/>
    </row>
    <row r="4" ht="50" customHeight="1" spans="1:11">
      <c r="A4" s="13" t="s">
        <v>3</v>
      </c>
      <c r="B4" s="13" t="s">
        <v>4</v>
      </c>
      <c r="C4" s="13" t="s">
        <v>5</v>
      </c>
      <c r="D4" s="13" t="s">
        <v>6</v>
      </c>
      <c r="E4" s="13" t="s">
        <v>7</v>
      </c>
      <c r="F4" s="13" t="s">
        <v>8</v>
      </c>
      <c r="G4" s="13" t="s">
        <v>9</v>
      </c>
      <c r="H4" s="14" t="s">
        <v>10</v>
      </c>
      <c r="I4" s="13" t="s">
        <v>11</v>
      </c>
      <c r="J4" s="13" t="s">
        <v>12</v>
      </c>
      <c r="K4" s="4" t="s">
        <v>13</v>
      </c>
    </row>
    <row r="5" customFormat="1" ht="172" customHeight="1" spans="1:12">
      <c r="A5" s="13">
        <v>1</v>
      </c>
      <c r="B5" s="13" t="s">
        <v>14</v>
      </c>
      <c r="C5" s="13" t="s">
        <v>15</v>
      </c>
      <c r="D5" s="13" t="s">
        <v>16</v>
      </c>
      <c r="E5" s="13" t="s">
        <v>17</v>
      </c>
      <c r="F5" s="15" t="s">
        <v>18</v>
      </c>
      <c r="G5" s="13">
        <v>116.2</v>
      </c>
      <c r="H5" s="14">
        <v>123291</v>
      </c>
      <c r="I5" s="17" t="s">
        <v>19</v>
      </c>
      <c r="J5" s="13"/>
      <c r="K5" s="4"/>
      <c r="L5" s="1"/>
    </row>
    <row r="6" customFormat="1" ht="158" customHeight="1" spans="1:12">
      <c r="A6" s="13">
        <v>2</v>
      </c>
      <c r="B6" s="13" t="s">
        <v>14</v>
      </c>
      <c r="C6" s="13" t="s">
        <v>15</v>
      </c>
      <c r="D6" s="13" t="s">
        <v>20</v>
      </c>
      <c r="E6" s="13" t="s">
        <v>21</v>
      </c>
      <c r="F6" s="15" t="s">
        <v>22</v>
      </c>
      <c r="G6" s="13">
        <v>2948</v>
      </c>
      <c r="H6" s="14">
        <v>1901250</v>
      </c>
      <c r="I6" s="17" t="s">
        <v>23</v>
      </c>
      <c r="J6" s="13" t="s">
        <v>24</v>
      </c>
      <c r="K6" s="4"/>
      <c r="L6" s="1"/>
    </row>
    <row r="7" customFormat="1" ht="158" customHeight="1" spans="1:12">
      <c r="A7" s="13">
        <v>3</v>
      </c>
      <c r="B7" s="13" t="s">
        <v>14</v>
      </c>
      <c r="C7" s="13" t="s">
        <v>15</v>
      </c>
      <c r="D7" s="13" t="s">
        <v>25</v>
      </c>
      <c r="E7" s="13" t="s">
        <v>21</v>
      </c>
      <c r="F7" s="15" t="s">
        <v>26</v>
      </c>
      <c r="G7" s="13">
        <v>268</v>
      </c>
      <c r="H7" s="14">
        <v>46632</v>
      </c>
      <c r="I7" s="17" t="s">
        <v>27</v>
      </c>
      <c r="J7" s="13"/>
      <c r="K7" s="4"/>
      <c r="L7" s="1"/>
    </row>
    <row r="8" customFormat="1" ht="188" customHeight="1" spans="1:12">
      <c r="A8" s="13">
        <v>4</v>
      </c>
      <c r="B8" s="13" t="s">
        <v>14</v>
      </c>
      <c r="C8" s="13" t="s">
        <v>28</v>
      </c>
      <c r="D8" s="13" t="s">
        <v>29</v>
      </c>
      <c r="E8" s="13" t="s">
        <v>30</v>
      </c>
      <c r="F8" s="16" t="s">
        <v>31</v>
      </c>
      <c r="G8" s="13">
        <v>3648</v>
      </c>
      <c r="H8" s="14">
        <v>474863</v>
      </c>
      <c r="I8" s="17" t="s">
        <v>32</v>
      </c>
      <c r="J8" s="13"/>
      <c r="K8" s="4"/>
      <c r="L8" s="1"/>
    </row>
    <row r="9" customFormat="1" ht="144" customHeight="1" spans="1:12">
      <c r="A9" s="13">
        <v>5</v>
      </c>
      <c r="B9" s="13" t="s">
        <v>14</v>
      </c>
      <c r="C9" s="13" t="s">
        <v>28</v>
      </c>
      <c r="D9" s="13" t="s">
        <v>33</v>
      </c>
      <c r="E9" s="13" t="s">
        <v>30</v>
      </c>
      <c r="F9" s="15" t="s">
        <v>34</v>
      </c>
      <c r="G9" s="13">
        <v>137</v>
      </c>
      <c r="H9" s="14">
        <v>19526</v>
      </c>
      <c r="I9" s="17" t="s">
        <v>35</v>
      </c>
      <c r="J9" s="13"/>
      <c r="K9" s="4"/>
      <c r="L9" s="1"/>
    </row>
    <row r="10" customFormat="1" ht="140" customHeight="1" spans="1:12">
      <c r="A10" s="13">
        <v>6</v>
      </c>
      <c r="B10" s="13" t="s">
        <v>14</v>
      </c>
      <c r="C10" s="13" t="s">
        <v>28</v>
      </c>
      <c r="D10" s="13" t="s">
        <v>36</v>
      </c>
      <c r="E10" s="13" t="s">
        <v>30</v>
      </c>
      <c r="F10" s="15" t="s">
        <v>37</v>
      </c>
      <c r="G10" s="13">
        <v>137</v>
      </c>
      <c r="H10" s="14">
        <v>24750</v>
      </c>
      <c r="I10" s="17" t="s">
        <v>38</v>
      </c>
      <c r="J10" s="13"/>
      <c r="K10" s="4"/>
      <c r="L10" s="1"/>
    </row>
    <row r="11" customFormat="1" ht="123" customHeight="1" spans="1:12">
      <c r="A11" s="13">
        <v>7</v>
      </c>
      <c r="B11" s="13" t="s">
        <v>14</v>
      </c>
      <c r="C11" s="13" t="s">
        <v>28</v>
      </c>
      <c r="D11" s="13" t="s">
        <v>39</v>
      </c>
      <c r="E11" s="13" t="s">
        <v>30</v>
      </c>
      <c r="F11" s="15" t="s">
        <v>40</v>
      </c>
      <c r="G11" s="13">
        <v>1001</v>
      </c>
      <c r="H11" s="14">
        <v>63389</v>
      </c>
      <c r="I11" s="17" t="s">
        <v>41</v>
      </c>
      <c r="J11" s="13"/>
      <c r="K11" s="4"/>
      <c r="L11" s="1"/>
    </row>
    <row r="12" customFormat="1" ht="150" customHeight="1" spans="1:12">
      <c r="A12" s="13">
        <v>8</v>
      </c>
      <c r="B12" s="13" t="s">
        <v>14</v>
      </c>
      <c r="C12" s="13" t="s">
        <v>28</v>
      </c>
      <c r="D12" s="13" t="s">
        <v>42</v>
      </c>
      <c r="E12" s="13" t="s">
        <v>43</v>
      </c>
      <c r="F12" s="17" t="s">
        <v>44</v>
      </c>
      <c r="G12" s="13">
        <v>559</v>
      </c>
      <c r="H12" s="14">
        <v>36894</v>
      </c>
      <c r="I12" s="17" t="s">
        <v>45</v>
      </c>
      <c r="J12" s="13"/>
      <c r="K12" s="4"/>
      <c r="L12" s="1"/>
    </row>
    <row r="13" customFormat="1" ht="139" customHeight="1" spans="1:12">
      <c r="A13" s="13">
        <v>9</v>
      </c>
      <c r="B13" s="13" t="s">
        <v>14</v>
      </c>
      <c r="C13" s="13" t="s">
        <v>28</v>
      </c>
      <c r="D13" s="13" t="s">
        <v>46</v>
      </c>
      <c r="E13" s="13" t="s">
        <v>30</v>
      </c>
      <c r="F13" s="15" t="s">
        <v>47</v>
      </c>
      <c r="G13" s="13">
        <v>4601</v>
      </c>
      <c r="H13" s="14">
        <v>32113</v>
      </c>
      <c r="I13" s="17" t="s">
        <v>48</v>
      </c>
      <c r="J13" s="13"/>
      <c r="K13" s="4"/>
      <c r="L13" s="1"/>
    </row>
    <row r="14" customFormat="1" ht="139" customHeight="1" spans="1:12">
      <c r="A14" s="13">
        <v>10</v>
      </c>
      <c r="B14" s="13" t="s">
        <v>14</v>
      </c>
      <c r="C14" s="13" t="s">
        <v>28</v>
      </c>
      <c r="D14" s="13" t="s">
        <v>49</v>
      </c>
      <c r="E14" s="13" t="s">
        <v>30</v>
      </c>
      <c r="F14" s="15" t="s">
        <v>50</v>
      </c>
      <c r="G14" s="14">
        <v>4526</v>
      </c>
      <c r="H14" s="14">
        <v>27156</v>
      </c>
      <c r="I14" s="17" t="s">
        <v>51</v>
      </c>
      <c r="J14" s="13"/>
      <c r="K14" s="4"/>
      <c r="L14" s="1"/>
    </row>
    <row r="15" customFormat="1" ht="110" customHeight="1" spans="1:12">
      <c r="A15" s="13">
        <v>11</v>
      </c>
      <c r="B15" s="13" t="s">
        <v>14</v>
      </c>
      <c r="C15" s="13" t="s">
        <v>28</v>
      </c>
      <c r="D15" s="13" t="s">
        <v>52</v>
      </c>
      <c r="E15" s="13" t="s">
        <v>30</v>
      </c>
      <c r="F15" s="15" t="s">
        <v>53</v>
      </c>
      <c r="G15" s="13">
        <v>11205</v>
      </c>
      <c r="H15" s="14">
        <v>67230</v>
      </c>
      <c r="I15" s="17" t="s">
        <v>54</v>
      </c>
      <c r="J15" s="13"/>
      <c r="K15" s="4"/>
      <c r="L15" s="1"/>
    </row>
    <row r="16" customFormat="1" ht="135" customHeight="1" spans="1:12">
      <c r="A16" s="13">
        <v>12</v>
      </c>
      <c r="B16" s="13" t="s">
        <v>14</v>
      </c>
      <c r="C16" s="13" t="s">
        <v>28</v>
      </c>
      <c r="D16" s="13" t="s">
        <v>55</v>
      </c>
      <c r="E16" s="13" t="s">
        <v>30</v>
      </c>
      <c r="F16" s="15" t="s">
        <v>56</v>
      </c>
      <c r="G16" s="13">
        <v>1278</v>
      </c>
      <c r="H16" s="14">
        <v>115020</v>
      </c>
      <c r="I16" s="17" t="s">
        <v>57</v>
      </c>
      <c r="J16" s="13"/>
      <c r="K16" s="4"/>
      <c r="L16" s="1"/>
    </row>
    <row r="17" customFormat="1" ht="151" customHeight="1" spans="1:12">
      <c r="A17" s="13">
        <v>13</v>
      </c>
      <c r="B17" s="13" t="s">
        <v>14</v>
      </c>
      <c r="C17" s="13" t="s">
        <v>28</v>
      </c>
      <c r="D17" s="13" t="s">
        <v>58</v>
      </c>
      <c r="E17" s="13" t="s">
        <v>30</v>
      </c>
      <c r="F17" s="15" t="s">
        <v>59</v>
      </c>
      <c r="G17" s="13">
        <v>2653</v>
      </c>
      <c r="H17" s="14">
        <v>37142</v>
      </c>
      <c r="I17" s="17" t="s">
        <v>60</v>
      </c>
      <c r="J17" s="13"/>
      <c r="K17" s="4"/>
      <c r="L17" s="1"/>
    </row>
    <row r="18" customFormat="1" ht="190" customHeight="1" spans="1:12">
      <c r="A18" s="13">
        <v>14</v>
      </c>
      <c r="B18" s="13" t="s">
        <v>14</v>
      </c>
      <c r="C18" s="13" t="s">
        <v>28</v>
      </c>
      <c r="D18" s="13" t="s">
        <v>61</v>
      </c>
      <c r="E18" s="13" t="s">
        <v>30</v>
      </c>
      <c r="F18" s="15" t="s">
        <v>62</v>
      </c>
      <c r="G18" s="13">
        <v>16028</v>
      </c>
      <c r="H18" s="14">
        <v>240420</v>
      </c>
      <c r="I18" s="17" t="s">
        <v>63</v>
      </c>
      <c r="J18" s="13"/>
      <c r="K18" s="4"/>
      <c r="L18" s="1"/>
    </row>
    <row r="19" customFormat="1" ht="182" customHeight="1" spans="1:12">
      <c r="A19" s="13">
        <v>15</v>
      </c>
      <c r="B19" s="13" t="s">
        <v>14</v>
      </c>
      <c r="C19" s="13" t="s">
        <v>28</v>
      </c>
      <c r="D19" s="13" t="s">
        <v>64</v>
      </c>
      <c r="E19" s="13" t="s">
        <v>30</v>
      </c>
      <c r="F19" s="15" t="s">
        <v>65</v>
      </c>
      <c r="G19" s="13">
        <v>16028</v>
      </c>
      <c r="H19" s="14">
        <v>240420</v>
      </c>
      <c r="I19" s="17" t="s">
        <v>66</v>
      </c>
      <c r="J19" s="13"/>
      <c r="K19" s="4"/>
      <c r="L19" s="1"/>
    </row>
    <row r="20" customFormat="1" ht="219" customHeight="1" spans="1:12">
      <c r="A20" s="13">
        <v>16</v>
      </c>
      <c r="B20" s="13" t="s">
        <v>14</v>
      </c>
      <c r="C20" s="13" t="s">
        <v>28</v>
      </c>
      <c r="D20" s="13" t="s">
        <v>67</v>
      </c>
      <c r="E20" s="13" t="s">
        <v>30</v>
      </c>
      <c r="F20" s="15" t="s">
        <v>68</v>
      </c>
      <c r="G20" s="13">
        <v>14404</v>
      </c>
      <c r="H20" s="14">
        <v>403312</v>
      </c>
      <c r="I20" s="17" t="s">
        <v>69</v>
      </c>
      <c r="J20" s="13"/>
      <c r="K20" s="4"/>
      <c r="L20" s="1"/>
    </row>
    <row r="21" customFormat="1" ht="157" customHeight="1" spans="1:12">
      <c r="A21" s="13">
        <v>17</v>
      </c>
      <c r="B21" s="13" t="s">
        <v>14</v>
      </c>
      <c r="C21" s="13" t="s">
        <v>28</v>
      </c>
      <c r="D21" s="13" t="s">
        <v>70</v>
      </c>
      <c r="E21" s="13" t="s">
        <v>30</v>
      </c>
      <c r="F21" s="15" t="s">
        <v>71</v>
      </c>
      <c r="G21" s="13">
        <v>1491</v>
      </c>
      <c r="H21" s="14">
        <v>5464</v>
      </c>
      <c r="I21" s="17" t="s">
        <v>72</v>
      </c>
      <c r="J21" s="13"/>
      <c r="K21" s="4"/>
      <c r="L21" s="1"/>
    </row>
    <row r="22" customFormat="1" ht="159" customHeight="1" spans="1:12">
      <c r="A22" s="13">
        <v>18</v>
      </c>
      <c r="B22" s="13" t="s">
        <v>14</v>
      </c>
      <c r="C22" s="13" t="s">
        <v>28</v>
      </c>
      <c r="D22" s="13" t="s">
        <v>73</v>
      </c>
      <c r="E22" s="13" t="s">
        <v>30</v>
      </c>
      <c r="F22" s="15" t="s">
        <v>74</v>
      </c>
      <c r="G22" s="13">
        <v>1495</v>
      </c>
      <c r="H22" s="14">
        <v>7475</v>
      </c>
      <c r="I22" s="17" t="s">
        <v>75</v>
      </c>
      <c r="J22" s="13"/>
      <c r="K22" s="4"/>
      <c r="L22" s="1"/>
    </row>
    <row r="23" customFormat="1" ht="84" customHeight="1" spans="1:12">
      <c r="A23" s="13">
        <v>19</v>
      </c>
      <c r="B23" s="13" t="s">
        <v>14</v>
      </c>
      <c r="C23" s="13" t="s">
        <v>28</v>
      </c>
      <c r="D23" s="13" t="s">
        <v>76</v>
      </c>
      <c r="E23" s="13" t="s">
        <v>77</v>
      </c>
      <c r="F23" s="15" t="s">
        <v>78</v>
      </c>
      <c r="G23" s="13">
        <v>4</v>
      </c>
      <c r="H23" s="14">
        <v>68</v>
      </c>
      <c r="I23" s="15" t="s">
        <v>79</v>
      </c>
      <c r="J23" s="13"/>
      <c r="K23" s="4"/>
      <c r="L23" s="1"/>
    </row>
    <row r="24" customFormat="1" ht="97" customHeight="1" spans="1:12">
      <c r="A24" s="13">
        <v>20</v>
      </c>
      <c r="B24" s="13" t="s">
        <v>14</v>
      </c>
      <c r="C24" s="13" t="s">
        <v>80</v>
      </c>
      <c r="D24" s="13" t="s">
        <v>81</v>
      </c>
      <c r="E24" s="13" t="s">
        <v>30</v>
      </c>
      <c r="F24" s="15" t="s">
        <v>82</v>
      </c>
      <c r="G24" s="13" t="s">
        <v>83</v>
      </c>
      <c r="H24" s="14">
        <v>8617.2</v>
      </c>
      <c r="I24" s="15" t="s">
        <v>84</v>
      </c>
      <c r="J24" s="13" t="s">
        <v>85</v>
      </c>
      <c r="K24" s="4"/>
      <c r="L24" s="1"/>
    </row>
    <row r="25" customFormat="1" ht="316" customHeight="1" spans="1:12">
      <c r="A25" s="13">
        <v>21</v>
      </c>
      <c r="B25" s="13" t="s">
        <v>14</v>
      </c>
      <c r="C25" s="13" t="s">
        <v>15</v>
      </c>
      <c r="D25" s="13" t="s">
        <v>86</v>
      </c>
      <c r="E25" s="13" t="s">
        <v>87</v>
      </c>
      <c r="F25" s="15" t="s">
        <v>88</v>
      </c>
      <c r="G25" s="13" t="s">
        <v>89</v>
      </c>
      <c r="H25" s="14" t="s">
        <v>89</v>
      </c>
      <c r="I25" s="15" t="s">
        <v>90</v>
      </c>
      <c r="J25" s="13"/>
      <c r="K25" s="4"/>
      <c r="L25" s="1"/>
    </row>
    <row r="26" customFormat="1" ht="176" customHeight="1" spans="1:12">
      <c r="A26" s="13">
        <v>22</v>
      </c>
      <c r="B26" s="13" t="s">
        <v>14</v>
      </c>
      <c r="C26" s="13" t="s">
        <v>15</v>
      </c>
      <c r="D26" s="13" t="s">
        <v>91</v>
      </c>
      <c r="E26" s="13" t="s">
        <v>92</v>
      </c>
      <c r="F26" s="15" t="s">
        <v>93</v>
      </c>
      <c r="G26" s="13">
        <v>5087</v>
      </c>
      <c r="H26" s="14">
        <v>529048</v>
      </c>
      <c r="I26" s="15" t="s">
        <v>94</v>
      </c>
      <c r="J26" s="13"/>
      <c r="K26" s="4"/>
      <c r="L26" s="1"/>
    </row>
    <row r="27" customFormat="1" ht="140" customHeight="1" spans="1:12">
      <c r="A27" s="13">
        <v>23</v>
      </c>
      <c r="B27" s="13" t="s">
        <v>14</v>
      </c>
      <c r="C27" s="13" t="s">
        <v>15</v>
      </c>
      <c r="D27" s="13" t="s">
        <v>95</v>
      </c>
      <c r="E27" s="13" t="s">
        <v>21</v>
      </c>
      <c r="F27" s="15" t="s">
        <v>96</v>
      </c>
      <c r="G27" s="13">
        <v>27005</v>
      </c>
      <c r="H27" s="14">
        <v>864160</v>
      </c>
      <c r="I27" s="17" t="s">
        <v>97</v>
      </c>
      <c r="J27" s="13" t="s">
        <v>98</v>
      </c>
      <c r="K27" s="4"/>
      <c r="L27" s="1"/>
    </row>
    <row r="28" customFormat="1" ht="150" customHeight="1" spans="1:12">
      <c r="A28" s="13">
        <v>24</v>
      </c>
      <c r="B28" s="13" t="s">
        <v>14</v>
      </c>
      <c r="C28" s="13" t="s">
        <v>15</v>
      </c>
      <c r="D28" s="13" t="s">
        <v>99</v>
      </c>
      <c r="E28" s="13" t="s">
        <v>100</v>
      </c>
      <c r="F28" s="15" t="s">
        <v>101</v>
      </c>
      <c r="G28" s="13">
        <v>11366</v>
      </c>
      <c r="H28" s="14">
        <v>324012</v>
      </c>
      <c r="I28" s="17" t="s">
        <v>102</v>
      </c>
      <c r="J28" s="13"/>
      <c r="K28" s="4"/>
      <c r="L28" s="1"/>
    </row>
    <row r="29" customFormat="1" ht="192" customHeight="1" spans="1:12">
      <c r="A29" s="13">
        <v>25</v>
      </c>
      <c r="B29" s="13" t="s">
        <v>14</v>
      </c>
      <c r="C29" s="13" t="s">
        <v>15</v>
      </c>
      <c r="D29" s="13" t="s">
        <v>103</v>
      </c>
      <c r="E29" s="13" t="s">
        <v>100</v>
      </c>
      <c r="F29" s="15" t="s">
        <v>104</v>
      </c>
      <c r="G29" s="13">
        <v>87</v>
      </c>
      <c r="H29" s="14">
        <v>1824</v>
      </c>
      <c r="I29" s="17" t="s">
        <v>105</v>
      </c>
      <c r="J29" s="13"/>
      <c r="K29" s="4"/>
      <c r="L29" s="1"/>
    </row>
    <row r="30" customFormat="1" ht="105" customHeight="1" spans="1:12">
      <c r="A30" s="13">
        <v>26</v>
      </c>
      <c r="B30" s="13" t="s">
        <v>106</v>
      </c>
      <c r="C30" s="13" t="s">
        <v>107</v>
      </c>
      <c r="D30" s="13" t="s">
        <v>108</v>
      </c>
      <c r="E30" s="13" t="s">
        <v>92</v>
      </c>
      <c r="F30" s="15" t="s">
        <v>109</v>
      </c>
      <c r="G30" s="13" t="s">
        <v>89</v>
      </c>
      <c r="H30" s="14" t="s">
        <v>89</v>
      </c>
      <c r="I30" s="17" t="s">
        <v>97</v>
      </c>
      <c r="J30" s="13"/>
      <c r="K30" s="4"/>
      <c r="L30" s="1"/>
    </row>
    <row r="31" customFormat="1" ht="105" customHeight="1" spans="1:12">
      <c r="A31" s="13">
        <v>27</v>
      </c>
      <c r="B31" s="13" t="s">
        <v>106</v>
      </c>
      <c r="C31" s="13" t="s">
        <v>107</v>
      </c>
      <c r="D31" s="13" t="s">
        <v>110</v>
      </c>
      <c r="E31" s="13" t="s">
        <v>100</v>
      </c>
      <c r="F31" s="15" t="s">
        <v>111</v>
      </c>
      <c r="G31" s="13" t="s">
        <v>89</v>
      </c>
      <c r="H31" s="14" t="s">
        <v>89</v>
      </c>
      <c r="I31" s="17" t="s">
        <v>97</v>
      </c>
      <c r="J31" s="13"/>
      <c r="K31" s="4"/>
      <c r="L31" s="1"/>
    </row>
    <row r="32" customFormat="1" ht="105" customHeight="1" spans="1:12">
      <c r="A32" s="13">
        <v>28</v>
      </c>
      <c r="B32" s="13" t="s">
        <v>106</v>
      </c>
      <c r="C32" s="13" t="s">
        <v>107</v>
      </c>
      <c r="D32" s="13" t="s">
        <v>112</v>
      </c>
      <c r="E32" s="13" t="s">
        <v>100</v>
      </c>
      <c r="F32" s="15" t="s">
        <v>113</v>
      </c>
      <c r="G32" s="13" t="s">
        <v>89</v>
      </c>
      <c r="H32" s="14" t="s">
        <v>89</v>
      </c>
      <c r="I32" s="17" t="s">
        <v>97</v>
      </c>
      <c r="J32" s="13"/>
      <c r="K32" s="4"/>
      <c r="L32" s="1"/>
    </row>
    <row r="33" customFormat="1" ht="105" customHeight="1" spans="1:12">
      <c r="A33" s="13">
        <v>29</v>
      </c>
      <c r="B33" s="13" t="s">
        <v>106</v>
      </c>
      <c r="C33" s="18" t="s">
        <v>114</v>
      </c>
      <c r="D33" s="18" t="s">
        <v>115</v>
      </c>
      <c r="E33" s="13" t="s">
        <v>100</v>
      </c>
      <c r="F33" s="15" t="s">
        <v>116</v>
      </c>
      <c r="G33" s="13" t="s">
        <v>89</v>
      </c>
      <c r="H33" s="14" t="s">
        <v>89</v>
      </c>
      <c r="I33" s="17" t="s">
        <v>117</v>
      </c>
      <c r="J33" s="13"/>
      <c r="K33" s="4"/>
      <c r="L33" s="1"/>
    </row>
    <row r="34" customFormat="1" ht="105" customHeight="1" spans="1:12">
      <c r="A34" s="13">
        <v>30</v>
      </c>
      <c r="B34" s="13" t="s">
        <v>106</v>
      </c>
      <c r="C34" s="18" t="s">
        <v>114</v>
      </c>
      <c r="D34" s="18" t="s">
        <v>118</v>
      </c>
      <c r="E34" s="13" t="s">
        <v>100</v>
      </c>
      <c r="F34" s="15" t="s">
        <v>119</v>
      </c>
      <c r="G34" s="13" t="s">
        <v>89</v>
      </c>
      <c r="H34" s="14" t="s">
        <v>89</v>
      </c>
      <c r="I34" s="17" t="s">
        <v>117</v>
      </c>
      <c r="J34" s="13"/>
      <c r="K34" s="4"/>
      <c r="L34" s="1"/>
    </row>
    <row r="35" ht="35" customHeight="1" spans="1:10">
      <c r="A35" s="13"/>
      <c r="B35" s="13"/>
      <c r="C35" s="13"/>
      <c r="D35" s="13"/>
      <c r="E35" s="13"/>
      <c r="F35" s="13"/>
      <c r="G35" s="13"/>
      <c r="H35" s="14">
        <f>SUM(H1:H34)</f>
        <v>5594076.2</v>
      </c>
      <c r="I35" s="17"/>
      <c r="J35" s="13"/>
    </row>
    <row r="36" ht="37" customHeight="1" spans="1:10">
      <c r="A36" s="19" t="s">
        <v>120</v>
      </c>
      <c r="B36" s="19"/>
      <c r="C36" s="20"/>
      <c r="D36" s="19"/>
      <c r="E36" s="19"/>
      <c r="F36" s="19"/>
      <c r="G36" s="19"/>
      <c r="H36" s="21"/>
      <c r="I36" s="19"/>
      <c r="J36" s="19"/>
    </row>
  </sheetData>
  <autoFilter xmlns:etc="http://www.wps.cn/officeDocument/2017/etCustomData" ref="A4:L36" etc:filterBottomFollowUsedRange="0">
    <extLst/>
  </autoFilter>
  <mergeCells count="4">
    <mergeCell ref="A1:J1"/>
    <mergeCell ref="A2:J2"/>
    <mergeCell ref="A3:J3"/>
    <mergeCell ref="A36:J36"/>
  </mergeCells>
  <pageMargins left="0.708661417322835" right="0.708661417322835" top="0.550694444444444" bottom="0.708333333333333" header="0.31496062992126" footer="0.31496062992126"/>
  <pageSetup paperSize="9" scale="76"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I9:I18"/>
  <sheetViews>
    <sheetView workbookViewId="0">
      <selection activeCell="A1" sqref="A1"/>
    </sheetView>
  </sheetViews>
  <sheetFormatPr defaultColWidth="8.89166666666667" defaultRowHeight="14.25"/>
  <sheetData>
    <row r="9" spans="9:9">
      <c r="I9">
        <v>8</v>
      </c>
    </row>
    <row r="10" spans="9:9">
      <c r="I10">
        <v>8</v>
      </c>
    </row>
    <row r="11" spans="9:9">
      <c r="I11">
        <v>8</v>
      </c>
    </row>
    <row r="12" spans="9:9">
      <c r="I12">
        <v>15</v>
      </c>
    </row>
    <row r="13" spans="9:9">
      <c r="I13">
        <v>8</v>
      </c>
    </row>
    <row r="14" spans="9:9">
      <c r="I14">
        <v>13</v>
      </c>
    </row>
    <row r="15" spans="9:9">
      <c r="I15">
        <v>2</v>
      </c>
    </row>
    <row r="16" spans="9:9">
      <c r="I16">
        <v>3</v>
      </c>
    </row>
    <row r="17" spans="9:9">
      <c r="I17">
        <v>8</v>
      </c>
    </row>
    <row r="18" spans="9:9">
      <c r="I18">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vt:i4>
      </vt:variant>
    </vt:vector>
  </HeadingPairs>
  <TitlesOfParts>
    <vt:vector size="2" baseType="lpstr">
      <vt:lpstr>9.19</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admin</cp:lastModifiedBy>
  <dcterms:created xsi:type="dcterms:W3CDTF">2023-08-29T00:52:00Z</dcterms:created>
  <cp:lastPrinted>2024-04-30T02:19:00Z</cp:lastPrinted>
  <dcterms:modified xsi:type="dcterms:W3CDTF">2025-12-15T02:37:16Z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626D067AE8FE44F588AF55DA3574DF70_13</vt:lpwstr>
  </property>
  <property fmtid="{D5CDD505-2E9C-101B-9397-08002B2CF9AE}" pid="4" name="KSOReadingLayout">
    <vt:bool>true</vt:bool>
  </property>
</Properties>
</file>