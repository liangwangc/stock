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9.19" sheetId="13" r:id="rId1"/>
    <sheet name="Sheet1" sheetId="10" r:id="rId2"/>
  </sheets>
  <definedNames>
    <definedName name="_xlnm._FilterDatabase" localSheetId="0" hidden="1">'9.19'!$A$4:$L$36</definedName>
    <definedName name="_xlnm._FilterDatabase" localSheetId="1" hidden="1">Sheet1!$A$1:$I$38</definedName>
    <definedName name="_xlnm.Print_Titles" localSheetId="0">'9.19'!$1:$4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<sst xmlns="http://schemas.openxmlformats.org/spreadsheetml/2006/main" count="244" uniqueCount="131">
  <si>
    <t>襄阳市医保基金专项检查情况问题确认表</t>
  </si>
  <si>
    <t>被检地：襄阳市                            检查时期范围:2023年１月1日-2025年9月30日　　   　　              检查时间：2025年10月28日至10月29日</t>
  </si>
  <si>
    <t>被检机构名称（盖章）：襄阳市中医医院          统一社会信用代码：12420600420424360A             　　　　　　　　　医疗机构等级：三级</t>
  </si>
  <si>
    <t>序号</t>
  </si>
  <si>
    <r>
      <rPr>
        <sz val="11"/>
        <color theme="1"/>
        <rFont val="仿宋"/>
        <charset val="134"/>
      </rPr>
      <t xml:space="preserve">问题类别 </t>
    </r>
    <r>
      <rPr>
        <sz val="11"/>
        <color theme="1"/>
        <rFont val="仿宋"/>
        <charset val="134"/>
      </rPr>
      <t xml:space="preserve">     </t>
    </r>
    <r>
      <rPr>
        <sz val="11"/>
        <color theme="1"/>
        <rFont val="仿宋"/>
        <charset val="134"/>
      </rPr>
      <t xml:space="preserve"> （一级指标）</t>
    </r>
  </si>
  <si>
    <r>
      <rPr>
        <sz val="11"/>
        <color theme="1"/>
        <rFont val="仿宋"/>
        <charset val="134"/>
      </rPr>
      <t xml:space="preserve">问题类别 </t>
    </r>
    <r>
      <rPr>
        <sz val="11"/>
        <color theme="1"/>
        <rFont val="仿宋"/>
        <charset val="134"/>
      </rPr>
      <t xml:space="preserve">  </t>
    </r>
    <r>
      <rPr>
        <sz val="11"/>
        <color theme="1"/>
        <rFont val="仿宋"/>
        <charset val="134"/>
      </rPr>
      <t>（二级指标）</t>
    </r>
  </si>
  <si>
    <t>问题项目</t>
  </si>
  <si>
    <t>违规科室</t>
  </si>
  <si>
    <t>问题情形描述</t>
  </si>
  <si>
    <t>问题
数量</t>
  </si>
  <si>
    <t>问题
金额
（元）</t>
  </si>
  <si>
    <t>认定依据</t>
  </si>
  <si>
    <t>备注</t>
  </si>
  <si>
    <t>省清单序号</t>
  </si>
  <si>
    <t>一般违规问题</t>
  </si>
  <si>
    <t>重复收费</t>
  </si>
  <si>
    <t>脊髓和神经根粘连松解术（编码330204001）</t>
  </si>
  <si>
    <t>脊柱骨科</t>
  </si>
  <si>
    <t>脊髓和神经根粘连松解是椎间盘微创消融术的目标和结果，“手术的主要目标就是通过移除压迫物（椎间盘髓核）来松解神经根。一旦压迫物被拿掉，松解即告完成。除非手术记录中明确描述了在髓核摘除后，神经根与周围组织存在严重的、需要专门器械进行锐性分离的“粘连”，否则“松解”通常被视为核心操作（髓核摘除）的附带效应和必然结果”。
行椎间盘微创摘除术（椎间盘微创消融术）的同时分解收取脊髓和神经根粘连松解术费用，共185.4次510777元。例：余佳雯，病案号811110。</t>
  </si>
  <si>
    <r>
      <rPr>
        <sz val="11"/>
        <rFont val="仿宋"/>
        <charset val="134"/>
      </rPr>
      <t>根据《全国医疗服务项目技术规范（2023年版）》，椎间盘微创消融术项目内涵：指臭氧消融；</t>
    </r>
    <r>
      <rPr>
        <b/>
        <sz val="11"/>
        <rFont val="仿宋"/>
        <charset val="134"/>
      </rPr>
      <t>包括椎间盘摘除、减压术</t>
    </r>
    <r>
      <rPr>
        <sz val="11"/>
        <rFont val="仿宋"/>
        <charset val="134"/>
      </rPr>
      <t>。
硬脊膜切开成形减压术项目内涵：全身麻醉，消毒铺巾，切皮止血，磨削取下椎板，切开硬脊膜，探查硬脊膜下腔，冲洗，</t>
    </r>
    <r>
      <rPr>
        <b/>
        <sz val="11"/>
        <rFont val="仿宋"/>
        <charset val="134"/>
      </rPr>
      <t>松解粘连神经根</t>
    </r>
    <r>
      <rPr>
        <sz val="11"/>
        <rFont val="仿宋"/>
        <charset val="134"/>
      </rPr>
      <t>，修补硬脊膜，放置引流，缝合切口。不含神经电生理监测、导航引导及机器人辅助、骨科微动力系统。</t>
    </r>
  </si>
  <si>
    <t>黄韧带增厚切除术（脊髓硬膜外病变切除术）（编码330204008）</t>
  </si>
  <si>
    <t>黄韧带切除是椎间盘微创消融术的必要步骤，“在脊柱后路手术中，要到达并处理突出的椎间盘，通常需要切开或切除覆盖在其后方的黄韧带。它属于手术入路和初步减压的一部分”。
行椎间盘微创摘除术（椎间盘微创消融术）的同时分解收取黄韧带增厚切除术（脊髓硬膜外病变切除术）费用，共184.2次560889元。例：余佳雯，病案号811110。</t>
  </si>
  <si>
    <r>
      <rPr>
        <sz val="11"/>
        <rFont val="仿宋"/>
        <charset val="134"/>
      </rPr>
      <t>根据《全国医疗服务项目技术规范（2023年版）》，椎间盘微创消融术项目内涵：指臭氧消融；</t>
    </r>
    <r>
      <rPr>
        <b/>
        <sz val="11"/>
        <rFont val="仿宋"/>
        <charset val="134"/>
      </rPr>
      <t>包括椎间盘摘除、减压术</t>
    </r>
    <r>
      <rPr>
        <sz val="11"/>
        <rFont val="仿宋"/>
        <charset val="134"/>
      </rPr>
      <t>。
腰椎间盘摘除术项目内涵：麻醉后消毒铺巾，影像引导下显露棘突、椎板和关节突，保留或不保留棘间韧带，</t>
    </r>
    <r>
      <rPr>
        <b/>
        <sz val="11"/>
        <rFont val="仿宋"/>
        <charset val="134"/>
      </rPr>
      <t>切除部分椎板、黄韧带</t>
    </r>
    <r>
      <rPr>
        <sz val="11"/>
        <rFont val="仿宋"/>
        <charset val="134"/>
      </rPr>
      <t>，显露硬膜和神经根，切除黄韧带，切开后纵韧带，去除突出椎间盘，覆盖脊柱膜，置引流缝合。</t>
    </r>
  </si>
  <si>
    <t>口腔颌面软组织清创术（大、中、小）（编码330608001—330608003）</t>
  </si>
  <si>
    <t>口腔科</t>
  </si>
  <si>
    <r>
      <rPr>
        <sz val="11"/>
        <color theme="1"/>
        <rFont val="仿宋"/>
        <charset val="134"/>
      </rPr>
      <t>阻生牙拔除术的治疗过程通常包含对口腔颌面软组织的处理，若术中发生软组织撕裂或感染，需清理创口并缝合，属于基础清创范畴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。</t>
    </r>
    <r>
      <rPr>
        <sz val="11"/>
        <color theme="1"/>
        <rFont val="仿宋"/>
        <charset val="134"/>
      </rPr>
      <t xml:space="preserve">
行阻生牙拔除术的同时分解收取口腔颌面软组织清创术（大、中、小）费用，共54次17313元。例：曾维一，病案号674724、田谊，病案号700114、刘少少，病案号694211。</t>
    </r>
  </si>
  <si>
    <r>
      <rPr>
        <sz val="11"/>
        <rFont val="仿宋"/>
        <charset val="134"/>
      </rPr>
      <t>根据《全国医疗服务项目技术规范（2023年版）》，（高、中、低位）阻生牙拔除术项目内涵：在配有微动力系统设备的牙科椅位，局部麻醉，切开，翻瓣，去骨解除阻力，切割牙体组织，分根，拔除，</t>
    </r>
    <r>
      <rPr>
        <b/>
        <sz val="11"/>
        <rFont val="仿宋"/>
        <charset val="134"/>
      </rPr>
      <t>清理牙槽窝</t>
    </r>
    <r>
      <rPr>
        <sz val="11"/>
        <rFont val="仿宋"/>
        <charset val="134"/>
      </rPr>
      <t>，</t>
    </r>
    <r>
      <rPr>
        <b/>
        <sz val="11"/>
        <rFont val="仿宋"/>
        <charset val="134"/>
      </rPr>
      <t>缝合伤口</t>
    </r>
    <r>
      <rPr>
        <sz val="11"/>
        <rFont val="仿宋"/>
        <charset val="134"/>
      </rPr>
      <t>。不含神经阻滞麻醉术。</t>
    </r>
  </si>
  <si>
    <t>下颌骨去骨皮质术（编码330607009）</t>
  </si>
  <si>
    <r>
      <rPr>
        <sz val="11"/>
        <color theme="1"/>
        <rFont val="仿宋"/>
        <charset val="134"/>
      </rPr>
      <t>对于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仿宋"/>
        <charset val="134"/>
      </rPr>
      <t>低位阻生或骨埋伏阻生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仿宋"/>
        <charset val="134"/>
      </rPr>
      <t>（如牙冠完全被骨包埋），需通过去骨术（包括去除颊侧骨皮质）暴露牙冠或解除骨阻力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。</t>
    </r>
    <r>
      <rPr>
        <sz val="11"/>
        <color theme="1"/>
        <rFont val="仿宋"/>
        <charset val="134"/>
      </rPr>
      <t xml:space="preserve">
行阻生牙拔除术的同时收取下颌骨去骨皮质术费用，共90.9次98899.2元。例：曾维一，病案号674724、田谊，病案号700114、刘少少，病案号694211。</t>
    </r>
  </si>
  <si>
    <t>根据《全国医疗服务项目技术规范（2023年版）》，（高、中、低位）阻生牙拔除术项目内涵：在配有微动力系统设备的牙科椅位，局部麻醉，切开，翻瓣，去骨解除阻力，切割牙体组织，分根，拔除，清理牙槽窝，缝合伤口。不含神经阻滞麻醉术。</t>
  </si>
  <si>
    <t>仰卧位安置技术（编码331700007x）</t>
  </si>
  <si>
    <t>肾内科</t>
  </si>
  <si>
    <r>
      <rPr>
        <sz val="11"/>
        <color theme="1"/>
        <rFont val="仿宋"/>
        <charset val="134"/>
      </rPr>
      <t>仰卧位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仿宋"/>
        <charset val="134"/>
      </rPr>
      <t>是经皮静脉球囊扩张术的标准体位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>，</t>
    </r>
    <r>
      <rPr>
        <sz val="11"/>
        <color theme="1"/>
        <rFont val="仿宋"/>
        <charset val="134"/>
      </rPr>
      <t>若球囊扩张术项目内涵已包含体位安置（如局部麻醉、穿刺等基础操作），单独收取“仰卧位安置技术费”则属于重复收费</t>
    </r>
    <r>
      <rPr>
        <sz val="11"/>
        <color theme="1"/>
        <rFont val="Times New Roman"/>
        <charset val="134"/>
      </rPr>
      <t>‌</t>
    </r>
    <r>
      <rPr>
        <sz val="11"/>
        <color theme="1"/>
        <rFont val="宋体"/>
        <charset val="134"/>
      </rPr>
      <t xml:space="preserve">。
</t>
    </r>
    <r>
      <rPr>
        <sz val="11"/>
        <color theme="1"/>
        <rFont val="仿宋"/>
        <charset val="134"/>
      </rPr>
      <t>经皮静脉球囊扩张术的同时收取仰卧位安置技术费用，共102次17748元。例：邵德启，病案号784542。</t>
    </r>
  </si>
  <si>
    <r>
      <rPr>
        <sz val="11"/>
        <color theme="1"/>
        <rFont val="仿宋"/>
        <charset val="134"/>
      </rPr>
      <t>根据《全国医疗服务项目技术规范（2023年版）》，经皮穿刺无名/锁骨下静脉球囊扩张术项目内涵：</t>
    </r>
    <r>
      <rPr>
        <b/>
        <sz val="11"/>
        <color theme="1"/>
        <rFont val="仿宋"/>
        <charset val="134"/>
      </rPr>
      <t>消毒麻醉，静脉穿刺插管至无名静脉或锁骨下静脉，</t>
    </r>
    <r>
      <rPr>
        <sz val="11"/>
        <color theme="1"/>
        <rFont val="仿宋"/>
        <charset val="134"/>
      </rPr>
      <t>造影并摄片，引入导引导管或长鞘，插入球囊扩张导管至狭窄部位，球囊扩张无名或锁骨下静脉，造影评价扩张效果，拔管压迫止血。</t>
    </r>
  </si>
  <si>
    <t>大换药（编码120600002）</t>
  </si>
  <si>
    <t>肛肠科</t>
  </si>
  <si>
    <t>按照技术规范，中药涂擦治疗包括局部清洁、常规消毒，科室开展中药涂擦治疗时另收取换药费用，共563次16890元。例：阮正武，病案号801873。</t>
  </si>
  <si>
    <t>根据《全国医疗服务项目技术规范（2023年版）》，中药涂擦治疗项目内涵：根据患者病情，辨证调配药物，取合适体位，局部清洁、常规消毒，用力均匀轻柔地涂于患部。
换药（大）项目内涵：指符合下列任一情况者：感染伤口、缝合11-30针伤口拆线、多个压疮、皮瓣移植物伤口、大棉垫1-2块、渗出 50-100毫升伤口等。麻醉，消毒铺巾，更换敷料、引流物，包扎固定。</t>
  </si>
  <si>
    <t>违反诊疗规范过度诊疗</t>
  </si>
  <si>
    <t>粪寄生虫镜检（编码250601001）</t>
  </si>
  <si>
    <t>综合住院</t>
  </si>
  <si>
    <t>无指征开具粪寄生虫镜检，寄生虫镜检主要用于寄生虫病的辅助诊断，排除诊断肠病、消化道疾病、肿瘤，做粪便常规(机器法)的同时收取粪寄生虫镜检费用，涉及3186次15930元。例：刘少少，病案号694211、王钰舒，病案号667977、吕忠英，病案号764699。</t>
  </si>
  <si>
    <t>根据食源性寄生虫病诊治专家共识（2023年）/全国临床检验操作规程（第四版）。</t>
  </si>
  <si>
    <t>核减2025自查退款</t>
  </si>
  <si>
    <t>血清载脂蛋白AⅠ测定（编码250303007）</t>
  </si>
  <si>
    <t>医院部分科室将血清载脂蛋白AI测定作为入院患者的常规检查，血清载脂蛋白AI可反应体内脂蛋白的情况，对心脑血管疾病、肝胆胰疾病、肾脏疾病、高脂血症、糖尿病、代谢综合症、甲状腺功能疾病、恶性肿瘤等相关疾病具有辅助诊断意义。排除血栓、高脂血症、甲状腺疾病、代谢综合征、心脑血管疾病、肾病综合征、糖尿病、肿瘤、高血压肝病诊断，对无相关疾病指征的患者开展检验。涉及215次3225元。例：田谊，病案号700114，诊断：埋伏牙，阻生牙、曾维一，病案号674224，诊断：阻生牙、刘少少，病案号694211，诊断：阻生牙，牙折裂。</t>
  </si>
  <si>
    <t>根据诊疗常规。 过度检查 示例：血清载脂蛋白AI可反应体内脂蛋白的情况，对心脑血管疾病、肝胆胰疾病、肾脏疾病、高脂血症、糖尿病、代谢综合症、甲状腺功能疾病、恶性肿瘤等相关疾病具有辅助诊断意义。某医院将血清载脂蛋白AI测定打包进心肌酶谱，对大量无指征患者普遍开展检查并收费，属于过度检查。</t>
  </si>
  <si>
    <t>血清载脂蛋白B测定（编码250303009）</t>
  </si>
  <si>
    <t>医院部分科室将血清载脂蛋白B测定作为入院患者的常规检查，血清载脂蛋白B用于反映体内脂蛋白情况，对心脑血管疾病、肝胆胰疾病、肾脏疾病、高脂血症、糖尿病、代谢综合症、甲状腺功能疾病、恶性肿瘤等相关疾病具有辅助诊断意义。排除血栓、高脂血症、甲状腺疾病、代谢综合征、心脑血管疾病、肾病综合征、糖尿病、肿瘤、高血压、肝病诊断，对无相关疾病指征的患者开展检验。涉及1099次16485元。例：田谊，病案号700114，诊断：埋伏牙，阻生牙、曾维一，病案号674224，诊断：阻生牙、刘少少，病案号694211，诊断：阻生牙，牙折裂。</t>
  </si>
  <si>
    <t>根据诊疗常规。 过度检查 示例：血清载脂蛋白B用于反映体内脂蛋白情况，对心脑血管疾病、肝胆胰疾病、肾脏疾病、高脂血症、糖尿病、代谢综合症、甲状腺功能疾病、恶性肿瘤等相关疾病具有辅助诊断意义。某医院将血清载脂蛋白B测定打包进心肌酶谱，对大量无指征患者普遍开展检查并收费，属于过度检查。</t>
  </si>
  <si>
    <t>钙测定（编码250304004）
无机磷测定（编码250304005）</t>
  </si>
  <si>
    <t>将电解质检测与钙、无机磷测定设置为检查套餐，排除外科、老年病人；排除肾病、甲状旁腺疾病、佝偻病、维生素D缺乏、慢性腹泻、代谢性疾病、肠道疾病、肝病、肿瘤诊断，无指征为住院患者普遍进行检测。涉及13143次39724元。例：田谊，病案号700114，诊断：埋伏牙，阻生牙、曾维一，病案号674224，诊断：阻生牙、刘少少，病案号694211，诊断：阻生牙，牙折裂。</t>
  </si>
  <si>
    <t>根据诊疗常规。 过度检查 示例：某医院为患者开展电解质检查时，未依据患者病情，无指征打包开展钙、无机磷测定并收费，属于过度检查。</t>
  </si>
  <si>
    <t>镁测定（编码250304006）</t>
  </si>
  <si>
    <t>将电解质检测与镁测定设置为检查套餐，无指征打包开展镁测定并收费，排除外科、老年病人；排除排除肾病、甲状旁腺疾病、佝偻病、维生素D缺乏、慢性腹泻、代谢性疾病、肠道疾病、肝病、肿瘤诊断无指征为住院患者普遍进行检测。涉及19730次98652元。例：田谊，病案号700114，诊断：埋伏牙，阻生牙、曾维一，病案号674224，诊断：阻生牙、刘少少，病案号694211，诊断：阻生牙，牙折裂。</t>
  </si>
  <si>
    <t>根据诊疗常规。 过度检查 示例：某医院为患者开展电解质检查时，未依据患者病情，无指征打包开展镁测定并收费，属于过度检查。</t>
  </si>
  <si>
    <t>超敏C反应蛋白测定（编码250301017）</t>
  </si>
  <si>
    <t>无指征同时开展C—反应蛋白测定、超敏C反应蛋白测定。C—反应蛋白一般用于炎症检测、超敏C反应蛋白应用于心脑血管疾病，排除重症医学科、胸外科、心病科，排除心血管疾病、糖尿病、栓塞等诊断。涉及2098次109422元。例：杨从金，病案号640310、王稳，病案号639906。</t>
  </si>
  <si>
    <t>根据诊疗常规。 过度检查 示例：C—反应蛋白、超敏C反应蛋白一般用于炎症检测，临床意义基本相同，临床根据诊疗需要检测其一即可。某医院对大量患者，同时开具C—反应蛋白、超敏C反应蛋白两种检测项目，属于过度检查。</t>
  </si>
  <si>
    <t>血浆乳酸测定（编码250301017）</t>
  </si>
  <si>
    <t>医院部分科室将血浆乳酸测定作为入院患者的常规检查，乳酸测定排除外科，骨科、肿瘤科、肝病科、产科、运动医学科，排除心血管疾病、糖尿病、昏迷、白血病、中毒、肝病诊断，对无相关疾病指征的患者开展检验。涉及952.5次6304.7元。例：徐嘉怡，病案号742825、王稳，病案号639906。</t>
  </si>
  <si>
    <t>根据诊疗常规。 过度检查 示例：血浆乳酸测定可以反映人体组织氧供需平衡与代谢状态。某医院对荨麻疹患者，普遍开展血浆乳酸测定检查并收费，属于过度检查。</t>
  </si>
  <si>
    <t>血浆D-二聚体测定(D-Dimer)（编码250203066）</t>
  </si>
  <si>
    <t>血浆D-二聚体测定反应患者凝血功能情况，一般用于血栓风险评估中高危患者，排除重症医学科、骨科、外科；排除诊断心脑血管疾病、血栓性疾病、肿瘤、肝病、肿瘤、血液病、重症感染、手术、溶栓治疗，向无指征患者遍开展血浆D-二聚体测定。涉及7706次508596元。例：张一冉，病案号705166，诊断：肺炎、王稳，病案号639906，诊断：肺部感染，高血压病1级。</t>
  </si>
  <si>
    <t>根据诊疗常规。 过度检查 示例：血浆D-二聚体测定反应患者凝血功能情况，一般用于血栓风险评估中高危患者，弥漫性血管内凝血、深静脉血栓、心脑血管疾病、肝脏疾病、恶性肿瘤、手术、溶栓治疗等指征监测。某医院将该项目作为入院常规检测项目，向无指征患者普遍开展并收费，属于过度检查。</t>
  </si>
  <si>
    <t>血清肌红蛋白测定（编码250306010）</t>
  </si>
  <si>
    <t>医院部分科室将血清肌红蛋白测定作为入院患者的常规检查，对大量无相关疾病指征的患者开展检验。肌红蛋白测定可以反应心肌、骨骼肌损伤和肾功能等疾病的进展情况，排除重症医学科、骨科、肿瘤科，排除诊断骨病、心胸类疾病、肌病、上腹疾病、肿瘤、肾病，对无相关疾病指征的患者开展检验。涉及6768次642961元。例：宋凤玲，病案号638694、徐嘉怡，病案号742825。</t>
  </si>
  <si>
    <t>根据诊疗常规。 过度检查 示例：血清肌红蛋白测定可以反应心肌、骨骼肌损伤和肾功能等疾病的进展情况，某医院将血清肌红蛋白测定打包进心肌酶谱，对大量无指征患者普遍开展检查并收费，属于过度检查。</t>
  </si>
  <si>
    <t>超标准收费</t>
  </si>
  <si>
    <t>中药塌渍治疗（编码410000008）</t>
  </si>
  <si>
    <t>按物价收费标准，中药塌渍治疗计价单位为“10%体表面积”，每增加体表面积10％加收20元，该院病程记录、医嘱按两个及以上部位治疗，费用清单按2次以上收费，2023年1月1日至2025年9月30日期间，共多收14748次538770元。例：李志安，病案号740531、胡素华，病案号748324、柳玉敏，病案号738589。</t>
  </si>
  <si>
    <t>根据《襄阳市医疗服务项目价格手册2022版》，中药塌渍治疗计价单位为“10%体表面积”，说明为“每增加体表面积10％加收20元；多次治疗按次收费”。
《襄阳市医疗服务项目价格目录（2024版）》，中药塌渍治疗计价单位为“10%体表面积”，说明为“每增加体表面积10％加收20元”。</t>
  </si>
  <si>
    <t>申诉佐证</t>
  </si>
  <si>
    <t>单次多层CT平扫（编码210300001c）</t>
  </si>
  <si>
    <t>2024年5月1日至2025年9月14日期间，一次行多部位检查，第二次及以上的按原价收取，共1246次，涉及费用123180元。胡素华，病案号748324、柳玉敏，病案号738589。</t>
  </si>
  <si>
    <t>根据《襄阳市医疗服务项目价格手册2022版》《襄阳市医疗服务项目价格目录（2024版）》，X线计算机体层（CT）扫描说明为“每增加一个部位按第一个部位的50%收费”。</t>
  </si>
  <si>
    <t>磁共振平扫（编码210200001）</t>
  </si>
  <si>
    <t>2024年5月1日至2025年9月14日期间，一次行多部位检查，第二次及以上的按原价收取，共109次，涉及费用42474元。胡素华，病案号748324、柳玉敏，病案号738589。</t>
  </si>
  <si>
    <t>根据《襄阳市医疗服务项目价格手册2022版》《襄阳市医疗服务项目价格目录（2024版）》，磁共振扫描(MRI)说明为“每增加一个部位按第一个部位的50%收费”。</t>
  </si>
  <si>
    <t>微波治疗（编码340100013）
激光疗法（编码340100013）</t>
  </si>
  <si>
    <t>皮肤科</t>
  </si>
  <si>
    <t>科室开展微波治疗按个数收费，如刘江，2024年3月16日单日行微波治疗300次，总费用6059.32元，其中微波治疗费用6000元；激光疗法按光斑收费，2023年1月1日至2025年9月30日，涉及门诊统筹患者行微波治疗一次收取14个部位以上的有21629次，总费用989368.8元，其中微波治疗费用21629次432580元。</t>
  </si>
  <si>
    <t>根据《襄阳市医疗服务项目价格手册2022版》《襄阳市医疗服务项目价格目录（2024版）》，微波治疗计价单位为“每部位”。激光疗法计价单位为“每个照射区”。</t>
  </si>
  <si>
    <t>将不属于医保支付范围的费用纳入医保基金结算</t>
  </si>
  <si>
    <t>沙库巴曲缬沙坦钠片</t>
  </si>
  <si>
    <t>肾病科</t>
  </si>
  <si>
    <t>韩久林，病案号800536，出院诊断“慢性肾衰竭，慢性肾脏病2期，膜性肾病，高血压病2级（高危）”，心脏彩超报告无心衰射血分数降低提示，无指征使用沙库巴曲缬沙坦钠片3盒108.36元并纳入医保报销。</t>
  </si>
  <si>
    <t>根据《国家基本医疗保险、工伤保险和生育保险药品目录（2024年）》，沙库巴曲缬沙坦钠片限定支付范围“限：1.射血分数降低的慢性心力衰竭(NYHAⅡ-Ⅳ级，LVEF≤40%)成人患者；2.原发性高血压”。</t>
  </si>
  <si>
    <t>注射用谷胱甘肽</t>
  </si>
  <si>
    <t>肿瘤血液病科</t>
  </si>
  <si>
    <t>徐大平，病案号684217，血清丙氨酸氨基转移酶测定（ALT）、血清天门冬氨酸氨基转移酶测定（AST）结果均正常，超范围使用注射用谷胱甘肽10瓶126.7元并纳入医保报销。</t>
  </si>
  <si>
    <t>根据《国家基本医疗保险、工伤保险和生育保险药品目录（2024年）》，注射用谷胱甘肽限定支付范围“限AST或ALT大于120U/L的患者”。</t>
  </si>
  <si>
    <t>注射用白眉蛇毒血凝酶</t>
  </si>
  <si>
    <t>王秀华，病案号650748，超范围使用注射用白眉蛇毒血凝酶26支553.54元并纳入医保报销。</t>
  </si>
  <si>
    <t>根据《国家基本医疗保险、工伤保险和生育保险药品目录（2024年）》，注射用白眉蛇毒血凝酶限定支付范围“限手术患者或产后出血患者”。</t>
  </si>
  <si>
    <t>串换费用</t>
  </si>
  <si>
    <t>全身麻醉（编码330100005）</t>
  </si>
  <si>
    <t>史义勇，病案号753904，病程记录为椎管内麻醉，实际收取全身麻醉费用，涉及多收1次247.8元。</t>
  </si>
  <si>
    <t>根据《医疗保障基金使用监督管理条例》第十五条　定点医药机构及其工作人员应当执行实名就医和购药管理规定，核验参保人员医疗保障凭证，按照诊疗规范提供合理、必要的医药服务，向参保人员如实出具费用单据和相关资料，不得分解住院、挂床住院，不得违反诊疗规范过度诊疗、过度检查、分解处方、超量开药、重复开药，不得重复收费、超标准收费、分解项目收费，不得串换药品、医用耗材、诊疗项目和服务设施，不得诱导、协助他人冒名或者虚假就医、购药。</t>
  </si>
  <si>
    <t>将不属于医保支付范围的纳入医保基金结算</t>
  </si>
  <si>
    <t>光子嫩肤</t>
  </si>
  <si>
    <t>科室将丙类项目光子嫩肤串换为目录内项目微波治疗、激光疗法、微针针刺、贴敷疗法，涉及640次10008元。例：朱丽佳，2023年12月5日光子嫩肤治疗按微针针刺100*18元计费1800元；宋安迪，2023年3月10日光子嫩肤治疗按贴敷疗法29元*200部位计费5800元。</t>
  </si>
  <si>
    <t>透析器</t>
  </si>
  <si>
    <t>透析室</t>
  </si>
  <si>
    <r>
      <rPr>
        <sz val="11"/>
        <color theme="1"/>
        <rFont val="仿宋"/>
        <charset val="134"/>
      </rPr>
      <t>每次进行血液透析治疗，需要消耗一支透析器。
2023年1月1日至2025年9月30日，透析器计费</t>
    </r>
    <r>
      <rPr>
        <sz val="11"/>
        <rFont val="仿宋"/>
        <charset val="134"/>
      </rPr>
      <t>38684支</t>
    </r>
    <r>
      <rPr>
        <sz val="11"/>
        <color theme="1"/>
        <rFont val="仿宋"/>
        <charset val="134"/>
      </rPr>
      <t>，同时段透析医保结算总次数为37196人次，透析器计费数量多于透析1133支，涉及费用83348.48元。</t>
    </r>
  </si>
  <si>
    <t>根据《国家卫生计生委关于印发血液透析中心基本标准和管理规范（试行）的通知》&lt;血液透析管理中心规范&gt;“三、安全与感染防控”要求：“3.各种用于注射、穿刺、采血等有创操作的医疗器具必须采用一次性耗材。独立血液透析中心使用的消毒药械、一次性医疗器械和器具应当符合国家有关规定。一次性使用的医疗器械、器具不得重复使用”。</t>
  </si>
  <si>
    <t>血液透析滤过器</t>
  </si>
  <si>
    <t>每次进行血液透析治疗，需要消耗一支血液透析滤过器。
2023年1月1日至2025年9月30日，血液透析滤过器计费12729支，同时段血液透析滤过医保结算总次数为12568人次，透析器计费数量多于血液透析滤过161支，按较低单价112元计算，涉及费用18032元。</t>
  </si>
  <si>
    <t>血透监测（编码311000012）</t>
  </si>
  <si>
    <t>透析室共设置24台血液透析设备，经核实有8台透析设备不能监测并记录血温、在线尿素监测、血容量、血压值。提取2023年1月1日至2025年9月30日时间段内，透析室共收取血透监测次数为50929人次，单价32元/人次，总费用1629728元，按1/3比例折算，多收血透监测费（无监测记录的）为543232元。</t>
  </si>
  <si>
    <t>根据《医疗器械监督管理条例》第五十五条规定，医疗器械经营企业、使用单位不得经营、使用未依法注册或者备案、无合格证明文件以及过期、失效、淘汰的医疗器械。</t>
  </si>
  <si>
    <t>内部管理问题</t>
  </si>
  <si>
    <t>其他</t>
  </si>
  <si>
    <t>烫熨治疗（编码470000013）</t>
  </si>
  <si>
    <t>现场检查科室开展烫熨治疗实际是将中药包加热后置于患处，与技术规范不符。
2023年1月1日至2025年9月30日，烫熨治疗共592次25456元。例：胡志宇，病案号669956、方文豪，病案号753348、苏俊，病案号784460。</t>
  </si>
  <si>
    <t>根据《全国医疗服务项目技术规范（2023年版）》，烫熨治疗项目内涵：根据患者病情，辨证调配药物，取合适体位，局部清洁、常规消毒，暴露烫熨部位，局部皮肤涂少量凡士林，将中药加热后，迅速用布包裹，然后在特定部位来回移动或反复旋转按摩。药袋温度过低时可更换药袋。密切观察局部皮肤情况，防止烫伤。</t>
  </si>
  <si>
    <t>肠腔内给药（结肠水疗）（编码460000012）</t>
  </si>
  <si>
    <t>技术规范要求“医1护1，每人耗时45分钟-1.5小时”，现场检查实际由护士执行操作。共涉及33次3795元。例：罗德清，病案号790634。</t>
  </si>
  <si>
    <t>根据《全国医疗服务项目技术规范（2023年版）》，结肠水疗项目内涵：结肠炎、慢性便秘、肠道功能紊乱等症状及肠道清洁采用结肠水疗。调节结肠水疗仪水温、输出功率等，换衣，消毒肛门，将涂润滑液的冲洗管头置入肛管直肠，冲洗时，为患者按摩腹部，经多次注药和抽液达到治疗作用，部分患者根据病情可将排出液做脱落细胞和免疫组化检查，部分可加氧气灌洗，结束后蹲厕以排出肠道内残留液体，洗浴换衣。含结肠灌洗治疗和肠腔内给药。不含免疫组化检查。</t>
  </si>
  <si>
    <t>红外线治疗（编码340100001）</t>
  </si>
  <si>
    <t>筋伤推拿科</t>
  </si>
  <si>
    <t>现场检查发现筋伤推拿科16台“特定电磁波治疗器”中5台超出有效期，最晚生产日期2017年1月，使用期限5年，2022年2月就超出有效期，任在使用。</t>
  </si>
  <si>
    <t>/</t>
  </si>
  <si>
    <t xml:space="preserve"> 被检机构负责人确认签字：           　　                检查组签字：                                              　　　　  时间：2025年11月28日　　</t>
  </si>
  <si>
    <t>经皮选择性静脉造影术（编码320100001）</t>
  </si>
  <si>
    <t>血清胱抑素(CystatinC)测定（编码250307028）</t>
  </si>
  <si>
    <t>钙测定（编码250304004）</t>
  </si>
  <si>
    <t>无机磷测定（编码250304005）</t>
  </si>
  <si>
    <t>雷火灸（编码440000008）</t>
  </si>
  <si>
    <t>灌肠（编码460000012）
清洁灌肠（编码460000012）</t>
  </si>
  <si>
    <t>LEEP刀进购与实际手术次数不符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</si>
</sst>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等线"/>
      <charset val="134"/>
      <scheme val="minor"/>
    </font>
    <font>
      <sz val="11"/>
      <color theme="1"/>
      <name val="仿宋"/>
      <charset val="134"/>
    </font>
    <font>
      <sz val="14"/>
      <color theme="1"/>
      <name val="方正小标宋简体"/>
      <charset val="134"/>
    </font>
    <font>
      <sz val="11"/>
      <name val="仿宋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仿宋"/>
      <charset val="134"/>
    </font>
    <font>
      <b/>
      <sz val="11"/>
      <name val="仿宋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NumberFormat="1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6"/>
  <sheetViews>
    <sheetView tabSelected="1" topLeftCell="B1" workbookViewId="0">
      <pane ySplit="4" topLeftCell="A33" activePane="bottomLeft" state="frozen"/>
      <selection/>
      <selection pane="bottomLeft" activeCell="H5" sqref="H5:H34"/>
    </sheetView>
  </sheetViews>
  <sheetFormatPr defaultColWidth="9" defaultRowHeight="14.25"/>
  <cols>
    <col min="1" max="1" width="4.66666666666667" style="1" customWidth="1"/>
    <col min="2" max="2" width="16.775" style="1" customWidth="1"/>
    <col min="3" max="3" width="12" style="8" customWidth="1"/>
    <col min="4" max="4" width="15.775" style="1" customWidth="1"/>
    <col min="5" max="5" width="7.775" style="1" customWidth="1"/>
    <col min="6" max="6" width="40.5833333333333" style="1" customWidth="1"/>
    <col min="7" max="7" width="7.775" style="1" customWidth="1"/>
    <col min="8" max="8" width="12.75" style="2" customWidth="1"/>
    <col min="9" max="9" width="40.5833333333333" style="1" customWidth="1"/>
    <col min="10" max="10" width="9.10833333333333" style="1" customWidth="1"/>
    <col min="11" max="11" width="12.8083333333333" style="9" hidden="1" customWidth="1"/>
    <col min="12" max="12" width="9" style="1" hidden="1" customWidth="1"/>
    <col min="13" max="16384" width="9" style="1"/>
  </cols>
  <sheetData>
    <row r="1" ht="38.25" customHeight="1" spans="1:12">
      <c r="A1" s="10" t="s">
        <v>0</v>
      </c>
      <c r="B1" s="10"/>
      <c r="C1" s="10"/>
      <c r="D1" s="10"/>
      <c r="E1" s="10"/>
      <c r="F1" s="10"/>
      <c r="G1" s="10"/>
      <c r="H1" s="11"/>
      <c r="I1" s="10"/>
      <c r="J1" s="10"/>
    </row>
    <row r="2" ht="24" customHeight="1" spans="1:12">
      <c r="A2" s="12" t="s">
        <v>1</v>
      </c>
      <c r="B2" s="12"/>
      <c r="C2" s="13"/>
      <c r="D2" s="12"/>
      <c r="E2" s="12"/>
      <c r="F2" s="12"/>
      <c r="G2" s="12"/>
      <c r="H2" s="14"/>
      <c r="I2" s="12"/>
      <c r="J2" s="12"/>
    </row>
    <row r="3" ht="24" customHeight="1" spans="1:12">
      <c r="A3" s="15" t="s">
        <v>2</v>
      </c>
      <c r="B3" s="15"/>
      <c r="C3" s="16"/>
      <c r="D3" s="15"/>
      <c r="E3" s="15"/>
      <c r="F3" s="15"/>
      <c r="G3" s="15"/>
      <c r="H3" s="17"/>
      <c r="I3" s="15"/>
      <c r="J3" s="15"/>
    </row>
    <row r="4" ht="50" customHeight="1" spans="1:1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4" t="s">
        <v>10</v>
      </c>
      <c r="I4" s="3" t="s">
        <v>11</v>
      </c>
      <c r="J4" s="3" t="s">
        <v>12</v>
      </c>
      <c r="K4" s="9" t="s">
        <v>13</v>
      </c>
    </row>
    <row r="5" s="1" customFormat="1" ht="221" customHeight="1" spans="1:12">
      <c r="A5" s="3">
        <v>1</v>
      </c>
      <c r="B5" s="3" t="s">
        <v>14</v>
      </c>
      <c r="C5" s="3" t="s">
        <v>15</v>
      </c>
      <c r="D5" s="3" t="s">
        <v>16</v>
      </c>
      <c r="E5" s="3" t="s">
        <v>17</v>
      </c>
      <c r="F5" s="18" t="s">
        <v>18</v>
      </c>
      <c r="G5" s="3">
        <v>185.4</v>
      </c>
      <c r="H5" s="4">
        <v>510777</v>
      </c>
      <c r="I5" s="19" t="s">
        <v>19</v>
      </c>
      <c r="J5" s="3"/>
      <c r="K5" s="9"/>
    </row>
    <row r="6" customFormat="1" ht="171" customHeight="1" spans="1:12">
      <c r="A6" s="3">
        <v>2</v>
      </c>
      <c r="B6" s="3" t="s">
        <v>14</v>
      </c>
      <c r="C6" s="3" t="s">
        <v>15</v>
      </c>
      <c r="D6" s="3" t="s">
        <v>20</v>
      </c>
      <c r="E6" s="3" t="s">
        <v>17</v>
      </c>
      <c r="F6" s="18" t="s">
        <v>21</v>
      </c>
      <c r="G6" s="3">
        <v>184.2</v>
      </c>
      <c r="H6" s="4">
        <v>560889</v>
      </c>
      <c r="I6" s="19" t="s">
        <v>22</v>
      </c>
      <c r="J6" s="3"/>
      <c r="K6" s="9"/>
      <c r="L6" s="1"/>
    </row>
    <row r="7" customFormat="1" ht="141" customHeight="1" spans="1:12">
      <c r="A7" s="3">
        <v>3</v>
      </c>
      <c r="B7" s="3" t="s">
        <v>14</v>
      </c>
      <c r="C7" s="3" t="s">
        <v>15</v>
      </c>
      <c r="D7" s="3" t="s">
        <v>23</v>
      </c>
      <c r="E7" s="3" t="s">
        <v>24</v>
      </c>
      <c r="F7" s="18" t="s">
        <v>25</v>
      </c>
      <c r="G7" s="3">
        <v>54</v>
      </c>
      <c r="H7" s="4">
        <v>17313</v>
      </c>
      <c r="I7" s="19" t="s">
        <v>26</v>
      </c>
      <c r="J7" s="3"/>
      <c r="K7" s="9"/>
      <c r="L7" s="1"/>
    </row>
    <row r="8" customFormat="1" ht="121" customHeight="1" spans="1:12">
      <c r="A8" s="3">
        <v>4</v>
      </c>
      <c r="B8" s="3" t="s">
        <v>14</v>
      </c>
      <c r="C8" s="3" t="s">
        <v>15</v>
      </c>
      <c r="D8" s="3" t="s">
        <v>27</v>
      </c>
      <c r="E8" s="3" t="s">
        <v>24</v>
      </c>
      <c r="F8" s="18" t="s">
        <v>28</v>
      </c>
      <c r="G8" s="3">
        <v>90.9</v>
      </c>
      <c r="H8" s="4">
        <v>98899.2</v>
      </c>
      <c r="I8" s="19" t="s">
        <v>29</v>
      </c>
      <c r="J8" s="3"/>
      <c r="K8" s="9"/>
      <c r="L8" s="1"/>
    </row>
    <row r="9" customFormat="1" ht="151" customHeight="1" spans="1:12">
      <c r="A9" s="3">
        <v>5</v>
      </c>
      <c r="B9" s="3" t="s">
        <v>14</v>
      </c>
      <c r="C9" s="3" t="s">
        <v>15</v>
      </c>
      <c r="D9" s="3" t="s">
        <v>30</v>
      </c>
      <c r="E9" s="3" t="s">
        <v>31</v>
      </c>
      <c r="F9" s="18" t="s">
        <v>32</v>
      </c>
      <c r="G9" s="3">
        <v>102</v>
      </c>
      <c r="H9" s="4">
        <v>17748</v>
      </c>
      <c r="I9" s="18" t="s">
        <v>33</v>
      </c>
      <c r="J9" s="3"/>
      <c r="K9" s="9"/>
      <c r="L9" s="1"/>
    </row>
    <row r="10" customFormat="1" ht="162" customHeight="1" spans="1:12">
      <c r="A10" s="3">
        <v>6</v>
      </c>
      <c r="B10" s="3" t="s">
        <v>14</v>
      </c>
      <c r="C10" s="3" t="s">
        <v>15</v>
      </c>
      <c r="D10" s="3" t="s">
        <v>34</v>
      </c>
      <c r="E10" s="3" t="s">
        <v>35</v>
      </c>
      <c r="F10" s="18" t="s">
        <v>36</v>
      </c>
      <c r="G10" s="3">
        <v>563</v>
      </c>
      <c r="H10" s="4">
        <v>16890</v>
      </c>
      <c r="I10" s="18" t="s">
        <v>37</v>
      </c>
      <c r="J10" s="3"/>
      <c r="K10" s="9"/>
      <c r="L10" s="1"/>
    </row>
    <row r="11" customFormat="1" ht="110" customHeight="1" spans="1:12">
      <c r="A11" s="3">
        <v>7</v>
      </c>
      <c r="B11" s="3" t="s">
        <v>14</v>
      </c>
      <c r="C11" s="3" t="s">
        <v>38</v>
      </c>
      <c r="D11" s="3" t="s">
        <v>39</v>
      </c>
      <c r="E11" s="3" t="s">
        <v>40</v>
      </c>
      <c r="F11" s="18" t="s">
        <v>41</v>
      </c>
      <c r="G11" s="3">
        <v>3186</v>
      </c>
      <c r="H11" s="4">
        <v>15930</v>
      </c>
      <c r="I11" s="18" t="s">
        <v>42</v>
      </c>
      <c r="J11" s="3" t="s">
        <v>43</v>
      </c>
      <c r="K11" s="9"/>
      <c r="L11" s="1"/>
    </row>
    <row r="12" customFormat="1" ht="245" customHeight="1" spans="1:12">
      <c r="A12" s="3">
        <v>8</v>
      </c>
      <c r="B12" s="3" t="s">
        <v>14</v>
      </c>
      <c r="C12" s="3" t="s">
        <v>38</v>
      </c>
      <c r="D12" s="3" t="s">
        <v>44</v>
      </c>
      <c r="E12" s="3" t="s">
        <v>40</v>
      </c>
      <c r="F12" s="18" t="s">
        <v>45</v>
      </c>
      <c r="G12" s="3">
        <v>215</v>
      </c>
      <c r="H12" s="4">
        <v>3225</v>
      </c>
      <c r="I12" s="20" t="s">
        <v>46</v>
      </c>
      <c r="J12" s="3" t="s">
        <v>43</v>
      </c>
      <c r="K12" s="9"/>
      <c r="L12" s="1"/>
    </row>
    <row r="13" customFormat="1" ht="219" customHeight="1" spans="1:12">
      <c r="A13" s="3">
        <v>9</v>
      </c>
      <c r="B13" s="3" t="s">
        <v>14</v>
      </c>
      <c r="C13" s="3" t="s">
        <v>38</v>
      </c>
      <c r="D13" s="3" t="s">
        <v>47</v>
      </c>
      <c r="E13" s="3" t="s">
        <v>40</v>
      </c>
      <c r="F13" s="18" t="s">
        <v>48</v>
      </c>
      <c r="G13" s="3">
        <v>1099</v>
      </c>
      <c r="H13" s="4">
        <v>16485</v>
      </c>
      <c r="I13" s="20" t="s">
        <v>49</v>
      </c>
      <c r="J13" s="3" t="s">
        <v>43</v>
      </c>
      <c r="K13" s="9"/>
      <c r="L13" s="1"/>
    </row>
    <row r="14" customFormat="1" ht="165" customHeight="1" spans="1:12">
      <c r="A14" s="3">
        <v>10</v>
      </c>
      <c r="B14" s="3" t="s">
        <v>14</v>
      </c>
      <c r="C14" s="3" t="s">
        <v>38</v>
      </c>
      <c r="D14" s="3" t="s">
        <v>50</v>
      </c>
      <c r="E14" s="3" t="s">
        <v>40</v>
      </c>
      <c r="F14" s="18" t="s">
        <v>51</v>
      </c>
      <c r="G14" s="3">
        <v>13143</v>
      </c>
      <c r="H14" s="4">
        <v>39724</v>
      </c>
      <c r="I14" s="20" t="s">
        <v>52</v>
      </c>
      <c r="J14" s="3" t="s">
        <v>43</v>
      </c>
      <c r="K14" s="9"/>
      <c r="L14" s="1"/>
    </row>
    <row r="15" customFormat="1" ht="159" customHeight="1" spans="1:12">
      <c r="A15" s="3">
        <v>11</v>
      </c>
      <c r="B15" s="3" t="s">
        <v>14</v>
      </c>
      <c r="C15" s="3" t="s">
        <v>38</v>
      </c>
      <c r="D15" s="3" t="s">
        <v>53</v>
      </c>
      <c r="E15" s="3" t="s">
        <v>40</v>
      </c>
      <c r="F15" s="18" t="s">
        <v>54</v>
      </c>
      <c r="G15" s="3">
        <v>19730</v>
      </c>
      <c r="H15" s="4">
        <v>98652</v>
      </c>
      <c r="I15" s="20" t="s">
        <v>55</v>
      </c>
      <c r="J15" s="3" t="s">
        <v>43</v>
      </c>
      <c r="K15" s="9"/>
      <c r="L15" s="1"/>
    </row>
    <row r="16" customFormat="1" ht="123" customHeight="1" spans="1:12">
      <c r="A16" s="3">
        <v>12</v>
      </c>
      <c r="B16" s="3" t="s">
        <v>14</v>
      </c>
      <c r="C16" s="3" t="s">
        <v>38</v>
      </c>
      <c r="D16" s="3" t="s">
        <v>56</v>
      </c>
      <c r="E16" s="3" t="s">
        <v>40</v>
      </c>
      <c r="F16" s="18" t="s">
        <v>57</v>
      </c>
      <c r="G16" s="3">
        <v>2098</v>
      </c>
      <c r="H16" s="4">
        <v>109422</v>
      </c>
      <c r="I16" s="20" t="s">
        <v>58</v>
      </c>
      <c r="J16" s="3" t="s">
        <v>43</v>
      </c>
      <c r="K16" s="9"/>
      <c r="L16" s="1"/>
    </row>
    <row r="17" customFormat="1" ht="122" customHeight="1" spans="1:12">
      <c r="A17" s="3">
        <v>13</v>
      </c>
      <c r="B17" s="3" t="s">
        <v>14</v>
      </c>
      <c r="C17" s="3" t="s">
        <v>38</v>
      </c>
      <c r="D17" s="3" t="s">
        <v>59</v>
      </c>
      <c r="E17" s="3" t="s">
        <v>40</v>
      </c>
      <c r="F17" s="18" t="s">
        <v>60</v>
      </c>
      <c r="G17" s="3">
        <v>952.5</v>
      </c>
      <c r="H17" s="4">
        <v>6304.7</v>
      </c>
      <c r="I17" s="20" t="s">
        <v>61</v>
      </c>
      <c r="J17" s="3" t="s">
        <v>43</v>
      </c>
      <c r="K17" s="9"/>
      <c r="L17" s="1"/>
    </row>
    <row r="18" customFormat="1" ht="164" customHeight="1" spans="1:12">
      <c r="A18" s="3">
        <v>14</v>
      </c>
      <c r="B18" s="3" t="s">
        <v>14</v>
      </c>
      <c r="C18" s="3" t="s">
        <v>38</v>
      </c>
      <c r="D18" s="3" t="s">
        <v>62</v>
      </c>
      <c r="E18" s="3" t="s">
        <v>40</v>
      </c>
      <c r="F18" s="18" t="s">
        <v>63</v>
      </c>
      <c r="G18" s="3">
        <v>7706</v>
      </c>
      <c r="H18" s="4">
        <v>508596</v>
      </c>
      <c r="I18" s="20" t="s">
        <v>64</v>
      </c>
      <c r="J18" s="3" t="s">
        <v>43</v>
      </c>
      <c r="K18" s="9"/>
      <c r="L18" s="1"/>
    </row>
    <row r="19" customFormat="1" ht="158" customHeight="1" spans="1:12">
      <c r="A19" s="3">
        <v>15</v>
      </c>
      <c r="B19" s="3" t="s">
        <v>14</v>
      </c>
      <c r="C19" s="3" t="s">
        <v>38</v>
      </c>
      <c r="D19" s="3" t="s">
        <v>65</v>
      </c>
      <c r="E19" s="3" t="s">
        <v>40</v>
      </c>
      <c r="F19" s="18" t="s">
        <v>66</v>
      </c>
      <c r="G19" s="3">
        <v>6768</v>
      </c>
      <c r="H19" s="4">
        <v>642961</v>
      </c>
      <c r="I19" s="20" t="s">
        <v>67</v>
      </c>
      <c r="J19" s="3"/>
      <c r="K19" s="9"/>
      <c r="L19" s="1"/>
    </row>
    <row r="20" customFormat="1" ht="149" customHeight="1" spans="1:12">
      <c r="A20" s="3">
        <v>16</v>
      </c>
      <c r="B20" s="3" t="s">
        <v>14</v>
      </c>
      <c r="C20" s="3" t="s">
        <v>68</v>
      </c>
      <c r="D20" s="21" t="s">
        <v>69</v>
      </c>
      <c r="E20" s="3" t="s">
        <v>40</v>
      </c>
      <c r="F20" s="18" t="s">
        <v>70</v>
      </c>
      <c r="G20" s="3">
        <v>14748</v>
      </c>
      <c r="H20" s="4">
        <v>538770</v>
      </c>
      <c r="I20" s="20" t="s">
        <v>71</v>
      </c>
      <c r="J20" s="3" t="s">
        <v>72</v>
      </c>
      <c r="K20" s="9"/>
      <c r="L20" s="1"/>
    </row>
    <row r="21" customFormat="1" ht="92" customHeight="1" spans="1:12">
      <c r="A21" s="3">
        <v>17</v>
      </c>
      <c r="B21" s="3" t="s">
        <v>14</v>
      </c>
      <c r="C21" s="3" t="s">
        <v>68</v>
      </c>
      <c r="D21" s="3" t="s">
        <v>73</v>
      </c>
      <c r="E21" s="3" t="s">
        <v>40</v>
      </c>
      <c r="F21" s="18" t="s">
        <v>74</v>
      </c>
      <c r="G21" s="3">
        <v>1246</v>
      </c>
      <c r="H21" s="4">
        <v>123180</v>
      </c>
      <c r="I21" s="20" t="s">
        <v>75</v>
      </c>
      <c r="J21" s="3"/>
      <c r="K21" s="9"/>
      <c r="L21" s="1"/>
    </row>
    <row r="22" customFormat="1" ht="78" customHeight="1" spans="1:12">
      <c r="A22" s="3">
        <v>18</v>
      </c>
      <c r="B22" s="3" t="s">
        <v>14</v>
      </c>
      <c r="C22" s="3" t="s">
        <v>68</v>
      </c>
      <c r="D22" s="3" t="s">
        <v>76</v>
      </c>
      <c r="E22" s="3" t="s">
        <v>40</v>
      </c>
      <c r="F22" s="18" t="s">
        <v>77</v>
      </c>
      <c r="G22" s="3">
        <v>109</v>
      </c>
      <c r="H22" s="4">
        <v>42474</v>
      </c>
      <c r="I22" s="20" t="s">
        <v>78</v>
      </c>
      <c r="J22" s="3"/>
      <c r="K22" s="9"/>
      <c r="L22" s="1"/>
    </row>
    <row r="23" customFormat="1" ht="141" customHeight="1" spans="1:12">
      <c r="A23" s="3">
        <v>19</v>
      </c>
      <c r="B23" s="3" t="s">
        <v>14</v>
      </c>
      <c r="C23" s="3" t="s">
        <v>68</v>
      </c>
      <c r="D23" s="3" t="s">
        <v>79</v>
      </c>
      <c r="E23" s="3" t="s">
        <v>80</v>
      </c>
      <c r="F23" s="18" t="s">
        <v>81</v>
      </c>
      <c r="G23" s="3">
        <v>21629</v>
      </c>
      <c r="H23" s="4">
        <v>432580</v>
      </c>
      <c r="I23" s="20" t="s">
        <v>82</v>
      </c>
      <c r="J23" s="3"/>
      <c r="K23" s="9"/>
      <c r="L23" s="1"/>
    </row>
    <row r="24" customFormat="1" ht="104" customHeight="1" spans="1:12">
      <c r="A24" s="3">
        <v>20</v>
      </c>
      <c r="B24" s="3" t="s">
        <v>14</v>
      </c>
      <c r="C24" s="3" t="s">
        <v>83</v>
      </c>
      <c r="D24" s="3" t="s">
        <v>84</v>
      </c>
      <c r="E24" s="3" t="s">
        <v>85</v>
      </c>
      <c r="F24" s="18" t="s">
        <v>86</v>
      </c>
      <c r="G24" s="3">
        <v>3</v>
      </c>
      <c r="H24" s="4">
        <v>108.36</v>
      </c>
      <c r="I24" s="20" t="s">
        <v>87</v>
      </c>
      <c r="J24" s="3"/>
      <c r="K24" s="9"/>
      <c r="L24" s="1"/>
    </row>
    <row r="25" customFormat="1" ht="91" customHeight="1" spans="1:12">
      <c r="A25" s="3">
        <v>21</v>
      </c>
      <c r="B25" s="3" t="s">
        <v>14</v>
      </c>
      <c r="C25" s="3" t="s">
        <v>83</v>
      </c>
      <c r="D25" s="3" t="s">
        <v>88</v>
      </c>
      <c r="E25" s="3" t="s">
        <v>89</v>
      </c>
      <c r="F25" s="18" t="s">
        <v>90</v>
      </c>
      <c r="G25" s="3">
        <v>10</v>
      </c>
      <c r="H25" s="4">
        <v>126.7</v>
      </c>
      <c r="I25" s="18" t="s">
        <v>91</v>
      </c>
      <c r="J25" s="3"/>
      <c r="K25" s="9"/>
      <c r="L25" s="1"/>
    </row>
    <row r="26" customFormat="1" ht="86" customHeight="1" spans="1:12">
      <c r="A26" s="3">
        <v>22</v>
      </c>
      <c r="B26" s="3" t="s">
        <v>14</v>
      </c>
      <c r="C26" s="3" t="s">
        <v>83</v>
      </c>
      <c r="D26" s="3" t="s">
        <v>92</v>
      </c>
      <c r="E26" s="3" t="s">
        <v>89</v>
      </c>
      <c r="F26" s="18" t="s">
        <v>93</v>
      </c>
      <c r="G26" s="3">
        <v>26</v>
      </c>
      <c r="H26" s="4">
        <v>553.54</v>
      </c>
      <c r="I26" s="18" t="s">
        <v>94</v>
      </c>
      <c r="J26" s="3"/>
      <c r="K26" s="9"/>
      <c r="L26" s="1"/>
    </row>
    <row r="27" customFormat="1" ht="203" customHeight="1" spans="1:12">
      <c r="A27" s="3">
        <v>23</v>
      </c>
      <c r="B27" s="3" t="s">
        <v>14</v>
      </c>
      <c r="C27" s="3" t="s">
        <v>95</v>
      </c>
      <c r="D27" s="3" t="s">
        <v>96</v>
      </c>
      <c r="E27" s="3" t="s">
        <v>35</v>
      </c>
      <c r="F27" s="18" t="s">
        <v>97</v>
      </c>
      <c r="G27" s="3">
        <v>1</v>
      </c>
      <c r="H27" s="4">
        <v>247.8</v>
      </c>
      <c r="I27" s="18" t="s">
        <v>98</v>
      </c>
      <c r="J27" s="3"/>
      <c r="K27" s="9"/>
      <c r="L27" s="1"/>
    </row>
    <row r="28" customFormat="1" ht="205" customHeight="1" spans="1:12">
      <c r="A28" s="3">
        <v>24</v>
      </c>
      <c r="B28" s="3" t="s">
        <v>14</v>
      </c>
      <c r="C28" s="3" t="s">
        <v>99</v>
      </c>
      <c r="D28" s="3" t="s">
        <v>100</v>
      </c>
      <c r="E28" s="3" t="s">
        <v>80</v>
      </c>
      <c r="F28" s="18" t="s">
        <v>101</v>
      </c>
      <c r="G28" s="3">
        <v>2</v>
      </c>
      <c r="H28" s="4">
        <v>8000</v>
      </c>
      <c r="I28" s="18" t="s">
        <v>98</v>
      </c>
      <c r="J28" s="3"/>
      <c r="K28" s="9"/>
      <c r="L28" s="1"/>
    </row>
    <row r="29" customFormat="1" ht="175" customHeight="1" spans="1:12">
      <c r="A29" s="3">
        <v>25</v>
      </c>
      <c r="B29" s="3" t="s">
        <v>14</v>
      </c>
      <c r="C29" s="3" t="s">
        <v>15</v>
      </c>
      <c r="D29" s="21" t="s">
        <v>102</v>
      </c>
      <c r="E29" s="3" t="s">
        <v>103</v>
      </c>
      <c r="F29" s="18" t="s">
        <v>104</v>
      </c>
      <c r="G29" s="3">
        <v>1133</v>
      </c>
      <c r="H29" s="4">
        <v>83343.48</v>
      </c>
      <c r="I29" s="18" t="s">
        <v>105</v>
      </c>
      <c r="J29" s="3"/>
      <c r="K29" s="9"/>
      <c r="L29" s="1"/>
    </row>
    <row r="30" customFormat="1" ht="145" customHeight="1" spans="1:12">
      <c r="A30" s="3">
        <v>26</v>
      </c>
      <c r="B30" s="3" t="s">
        <v>14</v>
      </c>
      <c r="C30" s="3" t="s">
        <v>15</v>
      </c>
      <c r="D30" s="21" t="s">
        <v>106</v>
      </c>
      <c r="E30" s="3" t="s">
        <v>103</v>
      </c>
      <c r="F30" s="18" t="s">
        <v>107</v>
      </c>
      <c r="G30" s="3">
        <v>161</v>
      </c>
      <c r="H30" s="4">
        <v>18032</v>
      </c>
      <c r="I30" s="18" t="s">
        <v>105</v>
      </c>
      <c r="J30" s="3"/>
      <c r="K30" s="9"/>
      <c r="L30" s="1"/>
    </row>
    <row r="31" customFormat="1" ht="158" customHeight="1" spans="1:12">
      <c r="A31" s="3">
        <v>27</v>
      </c>
      <c r="B31" s="3" t="s">
        <v>14</v>
      </c>
      <c r="C31" s="3" t="s">
        <v>15</v>
      </c>
      <c r="D31" s="3" t="s">
        <v>108</v>
      </c>
      <c r="E31" s="3" t="s">
        <v>103</v>
      </c>
      <c r="F31" s="18" t="s">
        <v>109</v>
      </c>
      <c r="G31" s="3">
        <v>16976</v>
      </c>
      <c r="H31" s="4">
        <v>543232</v>
      </c>
      <c r="I31" s="20" t="s">
        <v>110</v>
      </c>
      <c r="J31" s="3"/>
      <c r="K31" s="9"/>
      <c r="L31" s="1"/>
    </row>
    <row r="32" customFormat="1" ht="177" customHeight="1" spans="1:12">
      <c r="A32" s="3">
        <v>28</v>
      </c>
      <c r="B32" s="3" t="s">
        <v>111</v>
      </c>
      <c r="C32" s="3" t="s">
        <v>112</v>
      </c>
      <c r="D32" s="3" t="s">
        <v>113</v>
      </c>
      <c r="E32" s="3" t="s">
        <v>35</v>
      </c>
      <c r="F32" s="18" t="s">
        <v>114</v>
      </c>
      <c r="G32" s="3">
        <v>592</v>
      </c>
      <c r="H32" s="4">
        <v>25456</v>
      </c>
      <c r="I32" s="18" t="s">
        <v>115</v>
      </c>
      <c r="J32" s="3"/>
      <c r="K32" s="9"/>
      <c r="L32" s="1"/>
    </row>
    <row r="33" customFormat="1" ht="230" customHeight="1" spans="1:12">
      <c r="A33" s="3">
        <v>29</v>
      </c>
      <c r="B33" s="3" t="s">
        <v>111</v>
      </c>
      <c r="C33" s="3" t="s">
        <v>112</v>
      </c>
      <c r="D33" s="3" t="s">
        <v>116</v>
      </c>
      <c r="E33" s="3" t="s">
        <v>35</v>
      </c>
      <c r="F33" s="18" t="s">
        <v>117</v>
      </c>
      <c r="G33" s="3">
        <v>33</v>
      </c>
      <c r="H33" s="4">
        <v>3795</v>
      </c>
      <c r="I33" s="18" t="s">
        <v>118</v>
      </c>
      <c r="J33" s="3"/>
      <c r="K33" s="9"/>
      <c r="L33" s="1"/>
    </row>
    <row r="34" customFormat="1" ht="105" customHeight="1" spans="1:12">
      <c r="A34" s="3">
        <v>30</v>
      </c>
      <c r="B34" s="3" t="s">
        <v>111</v>
      </c>
      <c r="C34" s="3" t="s">
        <v>112</v>
      </c>
      <c r="D34" s="3" t="s">
        <v>119</v>
      </c>
      <c r="E34" s="3" t="s">
        <v>120</v>
      </c>
      <c r="F34" s="18" t="s">
        <v>121</v>
      </c>
      <c r="G34" s="3" t="s">
        <v>122</v>
      </c>
      <c r="H34" s="4" t="s">
        <v>122</v>
      </c>
      <c r="I34" s="20" t="s">
        <v>110</v>
      </c>
      <c r="J34" s="3"/>
      <c r="K34" s="9"/>
      <c r="L34" s="1"/>
    </row>
    <row r="35" ht="32" customHeight="1" spans="1:12">
      <c r="A35" s="3"/>
      <c r="B35" s="3"/>
      <c r="C35" s="3"/>
      <c r="D35" s="3"/>
      <c r="E35" s="3"/>
      <c r="F35" s="3"/>
      <c r="G35" s="3"/>
      <c r="H35" s="5">
        <f>SUM(H1:H34)</f>
        <v>4483714.78</v>
      </c>
      <c r="I35" s="20"/>
      <c r="J35" s="3"/>
    </row>
    <row r="36" ht="35" customHeight="1" spans="1:12">
      <c r="A36" s="6" t="s">
        <v>123</v>
      </c>
      <c r="B36" s="6"/>
      <c r="C36" s="22"/>
      <c r="D36" s="6"/>
      <c r="E36" s="6"/>
      <c r="F36" s="6"/>
      <c r="G36" s="6"/>
      <c r="H36" s="7"/>
      <c r="I36" s="6"/>
      <c r="J36" s="6"/>
    </row>
  </sheetData>
  <autoFilter xmlns:etc="http://www.wps.cn/officeDocument/2017/etCustomData" ref="A4:L36" etc:filterBottomFollowUsedRange="0">
    <extLst/>
  </autoFilter>
  <mergeCells count="4">
    <mergeCell ref="A1:J1"/>
    <mergeCell ref="A2:J2"/>
    <mergeCell ref="A3:J3"/>
    <mergeCell ref="A36:J36"/>
  </mergeCells>
  <pageMargins left="0.708661417322835" right="0.708661417322835" top="0.550694444444444" bottom="0.708333333333333" header="0.31496062992126" footer="0.31496062992126"/>
  <pageSetup paperSize="9" scale="76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selection activeCell="A1" sqref="$A1:$XFD1"/>
    </sheetView>
  </sheetViews>
  <sheetFormatPr defaultColWidth="8.89166666666667" defaultRowHeight="14.25"/>
  <cols>
    <col min="1" max="1" width="15.775" style="1" customWidth="1"/>
    <col min="2" max="2" width="12.75" style="2" customWidth="1"/>
  </cols>
  <sheetData>
    <row r="1" ht="40.5" spans="1:9">
      <c r="A1" s="3" t="s">
        <v>6</v>
      </c>
      <c r="B1" s="4" t="s">
        <v>10</v>
      </c>
    </row>
    <row r="2" ht="40.5" spans="1:9">
      <c r="A2" s="3" t="s">
        <v>16</v>
      </c>
      <c r="B2" s="4">
        <v>510777</v>
      </c>
    </row>
    <row r="3" ht="67.5" spans="1:9">
      <c r="A3" s="3" t="s">
        <v>20</v>
      </c>
      <c r="B3" s="4">
        <v>560889</v>
      </c>
    </row>
    <row r="4" ht="67.5" spans="1:9">
      <c r="A4" s="3" t="s">
        <v>23</v>
      </c>
      <c r="B4" s="4">
        <v>17313</v>
      </c>
    </row>
    <row r="5" ht="40.5" spans="1:9">
      <c r="A5" s="3" t="s">
        <v>27</v>
      </c>
      <c r="B5" s="4">
        <v>98899.2</v>
      </c>
    </row>
    <row r="6" ht="40.5" spans="1:9">
      <c r="A6" s="3" t="s">
        <v>124</v>
      </c>
      <c r="B6" s="4">
        <v>13050</v>
      </c>
      <c r="I6">
        <v>8</v>
      </c>
    </row>
    <row r="7" ht="40.5" spans="1:9">
      <c r="A7" s="3" t="s">
        <v>30</v>
      </c>
      <c r="B7" s="4">
        <v>17748</v>
      </c>
      <c r="I7">
        <v>8</v>
      </c>
    </row>
    <row r="8" ht="27" spans="1:9">
      <c r="A8" s="3" t="s">
        <v>34</v>
      </c>
      <c r="B8" s="4">
        <v>16890</v>
      </c>
      <c r="I8">
        <v>8</v>
      </c>
    </row>
    <row r="9" ht="40.5" spans="1:9">
      <c r="A9" s="3" t="s">
        <v>39</v>
      </c>
      <c r="B9" s="4">
        <v>171955</v>
      </c>
      <c r="I9">
        <v>15</v>
      </c>
    </row>
    <row r="10" ht="54" spans="1:9">
      <c r="A10" s="3" t="s">
        <v>125</v>
      </c>
      <c r="B10" s="4">
        <v>1629243</v>
      </c>
      <c r="I10">
        <v>8</v>
      </c>
    </row>
    <row r="11" ht="40.5" spans="1:9">
      <c r="A11" s="3" t="s">
        <v>44</v>
      </c>
      <c r="B11" s="4">
        <v>145800</v>
      </c>
      <c r="I11">
        <v>13</v>
      </c>
    </row>
    <row r="12" ht="40.5" spans="1:9">
      <c r="A12" s="3" t="s">
        <v>47</v>
      </c>
      <c r="B12" s="4">
        <v>145800</v>
      </c>
      <c r="I12">
        <v>2</v>
      </c>
    </row>
    <row r="13" ht="27" spans="1:9">
      <c r="A13" s="3" t="s">
        <v>126</v>
      </c>
      <c r="B13" s="4">
        <v>241668</v>
      </c>
      <c r="I13">
        <v>3</v>
      </c>
    </row>
    <row r="14" ht="27" spans="1:9">
      <c r="A14" s="3" t="s">
        <v>127</v>
      </c>
      <c r="B14" s="4">
        <v>183300</v>
      </c>
      <c r="I14">
        <v>8</v>
      </c>
    </row>
    <row r="15" ht="27" spans="1:9">
      <c r="A15" s="3" t="s">
        <v>53</v>
      </c>
      <c r="B15" s="4">
        <v>229125</v>
      </c>
      <c r="I15">
        <v>6</v>
      </c>
    </row>
    <row r="16" ht="40.5" spans="1:9">
      <c r="A16" s="3" t="s">
        <v>56</v>
      </c>
      <c r="B16" s="4">
        <v>295350</v>
      </c>
    </row>
    <row r="17" ht="40.5" spans="1:2">
      <c r="A17" s="3" t="s">
        <v>59</v>
      </c>
      <c r="B17" s="4">
        <v>73678</v>
      </c>
    </row>
    <row r="18" ht="40.5" spans="1:2">
      <c r="A18" s="3" t="s">
        <v>62</v>
      </c>
      <c r="B18" s="4">
        <v>1083390</v>
      </c>
    </row>
    <row r="19" ht="40.5" spans="1:2">
      <c r="A19" s="3" t="s">
        <v>65</v>
      </c>
      <c r="B19" s="4">
        <v>642961</v>
      </c>
    </row>
    <row r="20" ht="40.5" spans="1:2">
      <c r="A20" s="3" t="s">
        <v>69</v>
      </c>
      <c r="B20" s="4">
        <v>5189442</v>
      </c>
    </row>
    <row r="21" ht="40.5" spans="1:2">
      <c r="A21" s="3" t="s">
        <v>73</v>
      </c>
      <c r="B21" s="4">
        <v>123180</v>
      </c>
    </row>
    <row r="22" ht="27" spans="1:2">
      <c r="A22" s="3" t="s">
        <v>76</v>
      </c>
      <c r="B22" s="4">
        <v>42474</v>
      </c>
    </row>
    <row r="23" ht="54" spans="1:2">
      <c r="A23" s="3" t="s">
        <v>79</v>
      </c>
      <c r="B23" s="4">
        <v>432580</v>
      </c>
    </row>
    <row r="24" ht="27" spans="1:2">
      <c r="A24" s="3" t="s">
        <v>84</v>
      </c>
      <c r="B24" s="4">
        <v>108.36</v>
      </c>
    </row>
    <row r="25" spans="1:2">
      <c r="A25" s="3" t="s">
        <v>88</v>
      </c>
      <c r="B25" s="4">
        <v>126.7</v>
      </c>
    </row>
    <row r="26" ht="27" spans="1:2">
      <c r="A26" s="3" t="s">
        <v>92</v>
      </c>
      <c r="B26" s="4">
        <v>553.54</v>
      </c>
    </row>
    <row r="27" ht="27" spans="1:2">
      <c r="A27" s="3" t="s">
        <v>96</v>
      </c>
      <c r="B27" s="4">
        <v>247.8</v>
      </c>
    </row>
    <row r="28" spans="1:2">
      <c r="A28" s="3" t="s">
        <v>100</v>
      </c>
      <c r="B28" s="4">
        <v>10008</v>
      </c>
    </row>
    <row r="29" spans="1:2">
      <c r="A29" s="3" t="s">
        <v>102</v>
      </c>
      <c r="B29" s="4">
        <v>165583.56</v>
      </c>
    </row>
    <row r="30" spans="1:2">
      <c r="A30" s="3" t="s">
        <v>106</v>
      </c>
      <c r="B30" s="4">
        <v>116144</v>
      </c>
    </row>
    <row r="31" ht="27" spans="1:2">
      <c r="A31" s="3" t="s">
        <v>128</v>
      </c>
      <c r="B31" s="4">
        <v>73739</v>
      </c>
    </row>
    <row r="32" ht="54" spans="1:2">
      <c r="A32" s="3" t="s">
        <v>129</v>
      </c>
      <c r="B32" s="4">
        <v>582981</v>
      </c>
    </row>
    <row r="33" ht="27" spans="1:2">
      <c r="A33" s="3" t="s">
        <v>108</v>
      </c>
      <c r="B33" s="4">
        <v>543232</v>
      </c>
    </row>
    <row r="34" ht="27" spans="1:2">
      <c r="A34" s="3" t="s">
        <v>130</v>
      </c>
      <c r="B34" s="3">
        <v>4060</v>
      </c>
    </row>
    <row r="35" ht="27" spans="1:2">
      <c r="A35" s="3" t="s">
        <v>113</v>
      </c>
      <c r="B35" s="4">
        <v>25456</v>
      </c>
    </row>
    <row r="36" ht="40.5" spans="1:2">
      <c r="A36" s="3" t="s">
        <v>116</v>
      </c>
      <c r="B36" s="4">
        <v>3795</v>
      </c>
    </row>
    <row r="37" ht="27" spans="1:2">
      <c r="A37" s="3" t="s">
        <v>119</v>
      </c>
      <c r="B37" s="4">
        <v>302094</v>
      </c>
    </row>
    <row r="38" spans="1:2">
      <c r="A38" s="3"/>
      <c r="B38" s="5">
        <f>SUM(B1:B37)</f>
        <v>13693641.16</v>
      </c>
    </row>
    <row r="39" spans="1:2">
      <c r="A39" s="6"/>
      <c r="B39" s="7"/>
    </row>
  </sheetData>
  <autoFilter xmlns:etc="http://www.wps.cn/officeDocument/2017/etCustomData" ref="A1:I3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9.19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胡江龙</cp:lastModifiedBy>
  <dcterms:created xsi:type="dcterms:W3CDTF">2023-08-29T00:52:00Z</dcterms:created>
  <cp:lastPrinted>2024-04-30T02:19:00Z</cp:lastPrinted>
  <dcterms:modified xsi:type="dcterms:W3CDTF">2025-12-22T01:17:53Z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4ED9675A63DB4AE1A59BD26EAFB29CE3_13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