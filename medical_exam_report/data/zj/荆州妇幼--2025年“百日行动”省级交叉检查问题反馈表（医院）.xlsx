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tabRatio="743" firstSheet="2"/>
  </bookViews>
  <sheets>
    <sheet name="3.问题反馈表（医疗机构）" sheetId="6" r:id="rId1"/>
  </sheets>
  <definedNames>
    <definedName name="_xlnm._FilterDatabase" localSheetId="0" hidden="1">'3.问题反馈表（医疗机构）'!$A$1:$L$52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<sst xmlns="http://schemas.openxmlformats.org/spreadsheetml/2006/main" count="329" uniqueCount="192">
  <si>
    <t>2025年“百日行动”省级交叉检查问题反馈表（定点医疗机构）</t>
  </si>
  <si>
    <t>被检地： 荆州 市 荆州 区（市、县）                                  检查时期范围:2023 年１月-2025 年 6 月          　　　　               　　检查时间：2025年11月10日至11月12日</t>
  </si>
  <si>
    <t>被检机构名称（盖章）：荆州市妇幼保健院        　　　　　　　        统一社会信用代码： 12421000421421145A　　　　　　　　　　　　　           医疗机构等级：三级甲等</t>
  </si>
  <si>
    <t>序号</t>
  </si>
  <si>
    <t>问题类别       （一级指标）</t>
  </si>
  <si>
    <t>问题类别   （二级指标）</t>
  </si>
  <si>
    <t>问题项目</t>
  </si>
  <si>
    <t>违规科室</t>
  </si>
  <si>
    <t>问题情形描述</t>
  </si>
  <si>
    <t>问题
数量</t>
  </si>
  <si>
    <t>问题金额
（元）</t>
  </si>
  <si>
    <t>医保基金损失金额（元）（按荆州市医保局提供的综合比例63.60%计算）</t>
  </si>
  <si>
    <t>认定依据</t>
  </si>
  <si>
    <t>205条问题清单</t>
  </si>
  <si>
    <t>备注</t>
  </si>
  <si>
    <t>一般违规问题</t>
  </si>
  <si>
    <t>超标准收费</t>
  </si>
  <si>
    <t>单次多层CT平扫（编码：210300001c）</t>
  </si>
  <si>
    <t>医保科</t>
  </si>
  <si>
    <t>该院单次多层CT第二部位收费未按照“每增加一个部位按第一个部位的50%收费”执行。</t>
  </si>
  <si>
    <t>根据《荆州市医疗服务价格项目及医保支付目录》：单次多层CT第二部位收费应按照“每增加一个部位按第一个部位的50%收费”</t>
  </si>
  <si>
    <t>106条</t>
  </si>
  <si>
    <t>四肢血管彩色多普勒超声（编码：220302006）</t>
  </si>
  <si>
    <t>超声科</t>
  </si>
  <si>
    <t>该院开展四肢血管彩色多普勒超声检查未按照“每增加两根血管加收20元”收费。</t>
  </si>
  <si>
    <t>根据《荆州市医疗服务价格项目及医保支付目录》：四肢血管彩色多普勒超声检查应按照“每增加两根血管加收20元”收费。</t>
  </si>
  <si>
    <t>116条</t>
  </si>
  <si>
    <t>彩色多普勒超声常规检查（编码：220301001）</t>
  </si>
  <si>
    <t>医务科</t>
  </si>
  <si>
    <t>该院开展彩色多普勒超声常规检查未按照“每增加一个部位检查按第一个部位的50%”收费。</t>
  </si>
  <si>
    <t>根据《荆州市医疗服务价格项目及医保支付目录》：彩色多普勒超声常规检查应按照“每增加一个部位检查按第一个部位的50%”收费</t>
  </si>
  <si>
    <t>心电监护（编码：310701008）</t>
  </si>
  <si>
    <t>儿科</t>
  </si>
  <si>
    <t>呼吸机辅助呼吸、心电监护、动态血压监测、连续性血液净化等计价单位为小时，该院计费总时长大于患者实际入住ICU总时长。</t>
  </si>
  <si>
    <t>根据《荆州市医疗服务价格项目及医保支付目录》，呼吸机、心电监护、动态血压监测、连续性血液净化等计价单位为小时，该院计费总时长大于患者实际入住ICU总时长</t>
  </si>
  <si>
    <t>189条</t>
  </si>
  <si>
    <t>局部浸润麻醉（编码：330100001）</t>
  </si>
  <si>
    <t>口腔科</t>
  </si>
  <si>
    <t>该院同一天收取同一患者局部浸润麻醉费用2次及以上。</t>
  </si>
  <si>
    <t>根据《荆州市医疗服务价格项目及医保支付目录》，局部浸润麻醉应按“次”收费。</t>
  </si>
  <si>
    <t>/</t>
  </si>
  <si>
    <t>抢救项目（编码：120200001、120200002、120200003）。</t>
  </si>
  <si>
    <t>产科</t>
  </si>
  <si>
    <t>抢救项目计价标准为“日”，该院开展抢救项目（如大抢救、中抢救、小抢救等），超出计价标准。</t>
  </si>
  <si>
    <t>根据《荆州市医疗服务价格项目及医保支付目录》，抢救项目计价标准为“日”。</t>
  </si>
  <si>
    <t>190条</t>
  </si>
  <si>
    <t>重复收费</t>
  </si>
  <si>
    <t>阴道裂伤缝合术（编码：331304002）</t>
  </si>
  <si>
    <t>该院收取“单胎顺产接生”同时收取“阴道裂伤缝合术”，属重复收费。</t>
  </si>
  <si>
    <t>根据《荆州市医疗服务价格项目及医保支付目录》：单胎顺产接生项目内涵：含产程观察，阴道或肛门检查，胎心监测及脐带处理、会阴裂伤修补及侧切。</t>
  </si>
  <si>
    <t>宫颈扩张术（编码：311201010）</t>
  </si>
  <si>
    <t>妇科</t>
  </si>
  <si>
    <t>该院收取“人工流产术”同时收取“宫颈扩张术”，属重复收费。</t>
  </si>
  <si>
    <t>根据《荆州市医疗服务价格项目及医保支付目录》，人工流产术项目内涵：含宫颈扩张。</t>
  </si>
  <si>
    <t>204条</t>
  </si>
  <si>
    <t>显微手术加收（显微镜加收）（编码：331700003）</t>
  </si>
  <si>
    <t>眼科</t>
  </si>
  <si>
    <t>该院开展白内障超声乳化摘除术＋人工晶体植入同时收取“显微手术加收（显微镜加收）”费用，属重复收费。</t>
  </si>
  <si>
    <t>根据《全国医疗服务项目技术规范（2023年版）》白内障超声乳化摘除术项目内涵：麻醉，消毒铺巾，置手术贴膜，开睑，在手术显微镜下做结膜切口和角巩膜切口，或做透明角膜切口，电凝或压迫止血，前房穿刺，注入黏弹剂，撕晶状体前囊膜，安装积液盒调试超声乳化设备，应用超声乳化设备粉碎和吸出晶状体核，注吸晶状体皮质，关闭切口，形成前房，结膜囊涂抗生素眼膏，消毒纱布遮盖。</t>
  </si>
  <si>
    <t>局部浸润麻醉（口腔科）（编码：330100001）</t>
  </si>
  <si>
    <t>该院在同一患者同次就诊，收取牙拔除术费用，同时又收取局部浸润麻醉费用，局部浸润麻醉属重复收费。</t>
  </si>
  <si>
    <t>根据《全国医疗服务项目技术规范（2023年版）》牙拔除术项目内涵：含麻醉</t>
  </si>
  <si>
    <t>开髓引流术（编码：310511013）</t>
  </si>
  <si>
    <t>该院在同一患者同次就诊，收取牙髓失活术费用，同时又收取开髓引流术费用，开髓引流术属重复收费。</t>
  </si>
  <si>
    <t>根据《荆州市医疗服务价格项目及医保支付目录》，牙髓失活术项目内涵：含含麻醉、开髓、备洞、封药</t>
  </si>
  <si>
    <t>神经阻滞麻醉（编码：330100002a）、局部浸润麻醉（编码：330100001）</t>
  </si>
  <si>
    <t>该院在同一患者同次就诊，收取后牙纵折固定术、开髓引流术、牙髓失活术、牙外伤结扎固定术费用时，同时又收取同一患者麻醉费用，神经阻滞麻醉、局部浸润麻醉属重复收费。</t>
  </si>
  <si>
    <t>根据《荆州市医疗服务价格项目及医保支付目录》，后牙纵折固定术、开髓引流术、牙髓失活术、牙外伤结扎固定术含麻醉</t>
  </si>
  <si>
    <t>复杂充填术（编码：310511002）、简单充填术（编码：310511001）</t>
  </si>
  <si>
    <t>该院在同一患者同次就诊，收取牙体缺损粘接修复术费用，同时又收取复杂充填术或简单充填术费用，复杂充填术和简单充填术属重复收费。</t>
  </si>
  <si>
    <t>根据《荆州市医疗服务价格项目及医保支付目录》，牙体缺损粘接修复术项目内涵：含含牙体预备、酸蚀、粘接、充填。</t>
  </si>
  <si>
    <t>简单充填术（编码：310511001）</t>
  </si>
  <si>
    <t>该院在同一患者同次就诊，收取复杂充填术费用，同时又收取简单充填术费用，简单充填术属重复收费。</t>
  </si>
  <si>
    <t>根据《荆州市医疗服务价格项目及医保支付目录》，复杂充填术、简单充填术均属于充填术，一次操作只能收取其中一项。</t>
  </si>
  <si>
    <t>口腔局部止血（编码：310510007）</t>
  </si>
  <si>
    <t>该院在同一患者同次就诊，收取拔牙创面搔刮术费用，同时又收取口腔局部止血费用，口腔局部止血属重复收费。</t>
  </si>
  <si>
    <t>根据《荆州市医疗服务价格项目及医保支付目录》，拔牙创面搔刮术项目内涵：含包括干槽症、拔牙后出血、拔牙创面愈合不良</t>
  </si>
  <si>
    <t>牙髓摘除术（编码：310511015）</t>
  </si>
  <si>
    <t>该院在同一患者同次就诊，收取牙髓失活术费用，同时又收取牙髓摘除术费用，牙髓摘除术属重复收费。</t>
  </si>
  <si>
    <t>根据《荆州市医疗服务价格项目及医保支付目录》，牙髓失活术项目内涵：含含麻醉、开髓、备洞、封药。</t>
  </si>
  <si>
    <t>阻生牙拔除术（编码：330604006）</t>
  </si>
  <si>
    <t>该院在同一患者同次就诊，收取复杂牙拔除术费用，同时又收取阻生牙拔除术费用，阻生牙拔除术属重复收费。</t>
  </si>
  <si>
    <t>根据《荆州市医疗服务价格项目及医保支付目录》，复杂牙拔除术、阻生牙拔除术，一次操作只能收取其中一项。</t>
  </si>
  <si>
    <t>椎管内置管术（编码：330100011）</t>
  </si>
  <si>
    <t>手术室麻醉科</t>
  </si>
  <si>
    <t>该院在同一患者同次就诊，收取椎管内麻醉费用，同时又收取椎管内置管术费用，椎管内置管术属重复收费。</t>
  </si>
  <si>
    <t>根据《荆州市医疗服务价格项目及医保支付目录》，椎管内麻醉含椎管内置。</t>
  </si>
  <si>
    <t>173条</t>
  </si>
  <si>
    <t>中药特殊调配（编码：480000003）</t>
  </si>
  <si>
    <t>中医科</t>
  </si>
  <si>
    <t>该院为患者开具中药组方外用（包括穴位贴敷治疗、中药热奄包等），收取同一患者治疗费的同时收取中药特殊调配费用，中药特殊调配属重复收费。</t>
  </si>
  <si>
    <t>根据《荆州市医疗服务价格项目及医保支付目录》，中药组方已包含中药调配过程，不应额外收费。</t>
  </si>
  <si>
    <t>串换项目收费</t>
  </si>
  <si>
    <t>隐血试验（编码：250103002b）</t>
  </si>
  <si>
    <t>检验科</t>
  </si>
  <si>
    <t>该院收取“隐血试验 免疫法”7.5元/次，实际使用化学法开展此项检验，应收3元/次，属串换项目收费，应扣除收费差价。</t>
  </si>
  <si>
    <t>《医疗保障基金使用监督管理条例》规定，定点医药机构及其工作人员应当执行实名就医和购药管理规定，不得串换药品、医用耗材、诊疗项目和服务设施。</t>
  </si>
  <si>
    <t>乙型流感病毒（编码：CGLC1000）</t>
  </si>
  <si>
    <t>该院收取“乙型流感病毒抗体测定”费用，实际使用试剂为乙型流感病毒抗原检测试剂，属串换项目收费。</t>
  </si>
  <si>
    <t>钾钠氯钙测定（编码：250304001、250304002、250304003、250304004）</t>
  </si>
  <si>
    <t>新生儿科</t>
  </si>
  <si>
    <t>该院新生儿科收取“钾钠氯钙测定 干化学法”费用，实际使用电极法，属串换项目收费，应扣除收费差价。</t>
  </si>
  <si>
    <t>147条</t>
  </si>
  <si>
    <t>违反诊疗规范过度诊疗</t>
  </si>
  <si>
    <t>三维重建（编码：210300001d）</t>
  </si>
  <si>
    <t>放射科</t>
  </si>
  <si>
    <t>该院将三维重建作为普查项目开展，无指征为患者开展此项检查。（排除疾病诊断中含有“骨折、输尿管、积水、支气管、食管、食道”等关键字段）</t>
  </si>
  <si>
    <t>依据临床诊疗指南和操作规范，三维重建主要针对“泌尿系结石、积水、骨折、外伤”患者开展检查。</t>
  </si>
  <si>
    <t>尿沉渣镜检（编码：250102023）</t>
  </si>
  <si>
    <t>该院同时为同一患者开展尿沉渣定量、尿沉渣镜检检查，属过度检查。</t>
  </si>
  <si>
    <t>依据临床诊疗指南和操作规范，尿沉渣定量、尿沉渣镜检属于同类检查，如无特殊指征反映，原则上不应同时进行检测。</t>
  </si>
  <si>
    <t>作业疗法（编码：340200031）</t>
  </si>
  <si>
    <t>根据《荆州市医疗服务价格项目及医保支付目录》规定，作业疗法限器质性病变导致的生活、工作能力障碍；1个疾病过程支付不超过3个月；每日支付不超过1次。该院多科室违反该限制条件收取费用。</t>
  </si>
  <si>
    <t>根据《荆州市医疗服务价格项目及医保支付目录》、临床诊疗指南和操作规范规定，作业疗法限器质性病变导致的生活、工作能力障碍；1个疾病过程支付不超过3个月；每日支付不超过1次。</t>
  </si>
  <si>
    <t>90条</t>
  </si>
  <si>
    <t>癌胚抗原测定(CEA)（编码：250404001）</t>
  </si>
  <si>
    <t>综合内科</t>
  </si>
  <si>
    <t>该院无指征为患者开具癌胚抗原测定（CEA）。（排除疾病诊断中含“卵巢、输卵管、癌、肿瘤”等关键字段）</t>
  </si>
  <si>
    <t>依据临床诊疗指南和操作规范，癌胚抗原系肿瘤标志物。</t>
  </si>
  <si>
    <t>137条</t>
  </si>
  <si>
    <t>甲胎蛋白测定(AFP)</t>
  </si>
  <si>
    <t>该院无指征为患者开具甲胎蛋白测定(AFP)。（排除疾病诊断中含有“肝或卵黄囊瘤或畸胎瘤”、产科等关键字段）</t>
  </si>
  <si>
    <t>依据临床诊疗指南和操作规范，甲胎蛋白测定主要用于原发性肝癌及其他恶性肿瘤的辅助诊断。</t>
  </si>
  <si>
    <t>136条</t>
  </si>
  <si>
    <t>β2微球蛋白测定（编码：250301014）</t>
  </si>
  <si>
    <t>该院无指征为患者开具β2微球蛋白测定。（排除含有“肾、糖尿病、高血压、妊娠、脓毒血症、肿瘤、放化疗、代谢、孕、白血病、骨折、透析、综合征、泌尿、移植、免疫、淀粉、电解质、狼疮、低蛋白血症”等关键字段）</t>
  </si>
  <si>
    <t>依据临床诊疗指南和操作规范，β2微球蛋白测定一般适用于“肾、糖尿病、高血压、妊娠、脓毒血症、肿瘤、放化疗、代谢综合征、电解质紊乱、骨折、低蛋白血症、透析、淀粉样、综合征、骨髓瘤、白血病、狼疮、类风湿、免疫性疾病、移植、尿路疾病”患者。</t>
  </si>
  <si>
    <t>142条</t>
  </si>
  <si>
    <t>血栓弹力图试验（编码：250203080）</t>
  </si>
  <si>
    <t>该院无指征为患者开具血栓弹力图试验。</t>
  </si>
  <si>
    <t>依据临床诊疗指南和操作规范，是一种用于评估血液凝固和溶解特性的生物力学测试方法。主要用于测量血液样本在凝固、形成血栓以及血栓溶解过程中产生的物理特性变化，从而评估血液的凝固和纤溶能力。</t>
  </si>
  <si>
    <t>132条</t>
  </si>
  <si>
    <t>B型钠尿肽（BNP）测定（编码：250306012）</t>
  </si>
  <si>
    <t>综合内科、儿科</t>
  </si>
  <si>
    <t>该院无指征为患者开具B型钠尿肽（BNP）测定。（排除心血管类疾病等关键字段）</t>
  </si>
  <si>
    <t>依据临床诊疗指南和操作规范，B型钠尿肽（BNP）用于评估心脏疾病的风险及功能状态。</t>
  </si>
  <si>
    <t>129条</t>
  </si>
  <si>
    <t>乙型肝炎表面抗体测定（AntiHBs)（编码：250403005）、丙型肝炎抗体测定（Anti-HCV）（编码：250403014）</t>
  </si>
  <si>
    <t>该院为非肝炎患者多次开展乙肝、丙肝抗体测定。</t>
  </si>
  <si>
    <t>依据临床诊疗指南和操作规范，在正常情况下，除非有明确的医学指征，否则短期内，非肝炎患者不必要重复多次行乙型肝炎表面抗体测定、丙型肝炎抗体测定。</t>
  </si>
  <si>
    <t>134条</t>
  </si>
  <si>
    <t>新生儿经皮胆红素测定（编码：311202011）</t>
  </si>
  <si>
    <t>除新生儿相关科室外，未行蓝光治疗的新生儿每天仅需行一次新生儿经皮胆红素测定，该院实际每天检测2次或以上，属过度检查。</t>
  </si>
  <si>
    <t>依据临床诊疗指南和操作规范，未行蓝光治疗的新生儿每天仅需行一次新生儿经皮胆红素测定。</t>
  </si>
  <si>
    <t>降钙素原检测（编码：250310054）</t>
  </si>
  <si>
    <t>该院为同一患者开具降钙素原测定同时开具超敏C反应蛋白检测，属过度检查。</t>
  </si>
  <si>
    <t>依据临床诊疗指南和操作规范，降钙素原测定同时开具超敏C反应蛋白检测都是炎症标志物，原则上不应同时开展。</t>
  </si>
  <si>
    <t>糖类抗原测定（编码：250404011）</t>
  </si>
  <si>
    <t>该院无指征为患者开具糖类抗原测定。（排除疾病诊断含有“瘤、癌、子宫、卵巢”等关键字段）</t>
  </si>
  <si>
    <t>依据临床诊疗指南和操作规范，糖类抗原系肿瘤标志物。</t>
  </si>
  <si>
    <t>使用双联抗生素</t>
  </si>
  <si>
    <t>该院为妇科、产科住院患者无适应症使用头孢注射液和硝唑注射液双联抗生素，属过度治疗。除诊断有感染的患者外，其他应扣除其中一种抗生素费用。</t>
  </si>
  <si>
    <t>依据临床诊疗指南和操作规范，抗生素主要针对有感染的患者。</t>
  </si>
  <si>
    <t>人免疫缺陷病毒抗体测定（编码：250403019）</t>
  </si>
  <si>
    <t>该院在同一患者同次就诊期间，多次开具人免疫缺陷病毒抗体测定，属过度检查。</t>
  </si>
  <si>
    <t>依据临床诊疗指南和操作规范，人免疫缺陷病毒抗体测定，如无明显指征，同一就诊期间不应多次检测。</t>
  </si>
  <si>
    <t>血同型半胱氨酸测定（编码：250306011）</t>
  </si>
  <si>
    <t>该院无指征为患者开具血同型半胱氨酸测定。（排除50岁以下女性）</t>
  </si>
  <si>
    <t>依据临床诊疗指南和操作规范，血同型半胱氨酸测定主要用于检查体内同型半胱氨酸的含量。</t>
  </si>
  <si>
    <t>血浆D-二聚体测定（编码：250203066）</t>
  </si>
  <si>
    <t>该院无指征为患者开具血浆D-二聚体测定。（排除诊断中含“栓塞、出血、血栓、休克、凝血、呼吸困难、夹层、胸闷、胸痛、晕厥、脓毒、哮喘、孕、妊娠、肺动脉高压、重症、重型、川崎”等关键诊断。）</t>
  </si>
  <si>
    <t>依据临床诊疗指南和操作规范，血浆D-二聚体测定反映患者凝血功能情况，一般用于无弥漫性血管内凝血、深静脉血栓、心脑血管疾病、肝脏疾病、恶性肿瘤、手术、溶栓治疗等指征监测。</t>
  </si>
  <si>
    <t>其他（打包收费）</t>
  </si>
  <si>
    <t>梅毒螺旋体特异抗体测定（编码：250403053）</t>
  </si>
  <si>
    <t>该院将“不加热血清反应素试验”或“快速血浆反应素试验(RPR)”与“梅毒螺旋体特异抗体测定”打包开具并收费。</t>
  </si>
  <si>
    <t>根据《荆州市医疗服务价格项目及医保支付目录》，打包收费违反了医技服务收费必须按项目名称、项目编码进行收费的规定。</t>
  </si>
  <si>
    <t>131条</t>
  </si>
  <si>
    <t>其他（无医嘱开展项目并收费）</t>
  </si>
  <si>
    <t>血浆乳酸测定（编码：250302008）</t>
  </si>
  <si>
    <t>该院无医嘱收取患者血浆乳酸测定项目费用。</t>
  </si>
  <si>
    <t>根据临床诊疗指南和操作规范相关规定，医师为患者开具的检验项目须附有医嘱。</t>
  </si>
  <si>
    <t>其他（女性开具男性项目）</t>
  </si>
  <si>
    <t>交通性鞘膜积液修补术（编码：331202007）</t>
  </si>
  <si>
    <t>该院为女性患者开具男性项目。</t>
  </si>
  <si>
    <t>根据临床诊疗指南和操作规范相关规定，交通性鞘膜积液修补术为男性特有诊疗项目。</t>
  </si>
  <si>
    <t>内部管理问题</t>
  </si>
  <si>
    <t>违反卫生管理政策</t>
  </si>
  <si>
    <t>中医治疗项目</t>
  </si>
  <si>
    <t>该院儿科、产科、妇科医师无中医资质开具中医定向透药、隔物灸、温针灸、拔罐、推拿等中医治疗项目。</t>
  </si>
  <si>
    <t>根据《医疗机构管理条例》和《医疗机构管理条例实施细则》，从事医疗卫生工作须取得相应职业资格证书。</t>
  </si>
  <si>
    <t>可见光治疗（编码：340100002）</t>
  </si>
  <si>
    <t>医院无可见光治疗仪器，用自制白炽灯代替可见光治疗设备，为患者开具可见光治疗并收取费用。</t>
  </si>
  <si>
    <t>根据《全国医疗服务项目技术规范（2023年版）》，可见光治疗指应用可见光波段光辐射器对人体病变部位进行体表照射。在理疗室或病房床旁，治疗对象选取舒适体位暴露治疗部位，操作者遵照医嘱调节设备输出参数，将辐射头对准需治疗的部位，相隔适宜距离进行治疗，观察治疗反应，记录治疗单。</t>
  </si>
  <si>
    <t>丙类项目，涉及数量799次，金额9588.00元。</t>
  </si>
  <si>
    <t>水疗（编码：340100020）</t>
  </si>
  <si>
    <t>该院无水疗设备为患者开具水疗并收取费用。</t>
  </si>
  <si>
    <t>根据《全国医疗服务项目技术规范（2023年版）》，水疗包括药物浸浴、气泡浴、哈伯特槽浴(8字槽)旋涡浴(分上肢、下肢)</t>
  </si>
  <si>
    <t>丙类项目，涉及数量226次，金额5198.00元。</t>
  </si>
  <si>
    <t>合计</t>
  </si>
  <si>
    <t xml:space="preserve"> 被检机构负责人确认签字：           　　     检查组组长：　　　　　　    检查组主要成员：                        　　　　 　　　　 确认时间：2025年11月17日　　</t>
  </si>
  <si>
    <t>填表说明：
1.问题类别（一级指标）：选填“欺诈骗保问题/一般违规问题/内部管理问题”；
2.问题类别（二级指标）：问题类别（二级指标）：若一级指标选择“欺诈骗保问题”，则选填“诱导协助冒名就医/诱导协助虚假就医/提供虚假材料/虚开费用单据/伪造变造资料/虚构服务/以骗保为目的串换项目/其他(…需说明违规项目)”；若一级指标选择“一般违规问题”，则选填“分解住院/挂床住院/违反诊疗规范过度诊疗/重复收费/超标准收费/分解收费/串换项目/为倒卖药品提供便利/将不属于医保支付范围的纳入医保基金结算/违反DRG或DIP支付政策/其他”；若一级指标选择“内部管理问题”，则选填“制度规范/账目资料保管/数据传输/监管信息报告/信息公开/不合理提供医保外服务/拒绝检查/违反卫生管理政策/进销存不符/其他(…需说明违规项目)”；若填写以上未涵盖的其他问题类别，应自行定义项目填写；
3.问题项目：填写涉及认定为违规的具体医疗服务项目或药品、医用耗材名称；                                                                                                                 
4.违规科室：请检查人员根据检查情况归类，选择重症医学/肿瘤科/整形外科/眼科/血液科/胸外科/心内科/心外科/儿科/消化科/生殖医学/泌尿内科/泌尿外科/神经外科/神经内科/烧伤科/普通外科/皮肤科/内分泌科/麻醉科/药剂科/口腔科/康复医学/精神医学/健康管理/检验科/急诊/呼吸科/核医学/骨科/妇产科/风湿科/放射科/耳鼻喉科/传染科/超声科/病理科/变态反应/全科/老年科/疼痛科/罕见病，如确实无法对应的，可自定义；　　　　　　　　　　　　　　　　　　　　　　　　　　　　　　　　　　　　　　　　　　　　　　　　　　　　　　　　　　　　　　　　　　　　　　　　　　　　　　　　　　　　　　　　　　　　　　　　　　　　　　　　　　　　　　　　　　　　　　　　　　　　　　　　　　　　　　　　　　　　　　　　　　　　　　　　　　　　　　　　　　　　　　　　　　　　　　　5.问题情形描述：对具体问题情形进行描述，应表意完整、准确；　
6.问题数量：填写问题项目涉及最终认定的数量，单位可以是人次、计费次数等；
7.问题金额（元）：填写问题项目涉及最终认定的金额，精确到小数点后 2 位；
8.认定依据：填写问题项目涉及的认定依据，需注明文件标题及具体违反条款内容。                                                               　　　　　　　　　　　　　　　　　　　　　　　  9.此表红色字体部分为示例，主要展示问题描述方法，检查人员可根据检查情况参照示例撰写有关内容，问题情形描述应清晰准确。                                          　　　　　　　　　　　　　　　              10.备注：其他有必要提及的内容。</t>
  </si>
  <si>
    <t>（本文书一式二份，一份移交属地医疗保障行政部门，一份上交省医疗保障局归档。）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</si>
</sst>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32">
    <font>
      <sz val="11"/>
      <color theme="1"/>
      <name val="宋体"/>
      <charset val="134"/>
      <scheme val="minor"/>
    </font>
    <font>
      <sz val="11"/>
      <name val="宋体"/>
      <charset val="134"/>
      <scheme val="minor"/>
    </font>
    <font>
      <sz val="20"/>
      <name val="方正小标宋简体"/>
      <charset val="134"/>
    </font>
    <font>
      <sz val="12"/>
      <color theme="1"/>
      <name val="仿宋"/>
      <charset val="134"/>
    </font>
    <font>
      <sz val="12"/>
      <name val="仿宋"/>
      <charset val="134"/>
    </font>
    <font>
      <sz val="11"/>
      <color theme="1"/>
      <name val="楷体"/>
      <charset val="134"/>
    </font>
    <font>
      <sz val="11"/>
      <name val="楷体"/>
      <charset val="134"/>
    </font>
    <font>
      <sz val="11"/>
      <color rgb="FFFF0000"/>
      <name val="仿宋"/>
      <charset val="134"/>
    </font>
    <font>
      <sz val="11"/>
      <name val="仿宋"/>
      <charset val="134"/>
    </font>
    <font>
      <sz val="11"/>
      <color theme="1"/>
      <name val="仿宋"/>
      <charset val="134"/>
    </font>
    <font>
      <b/>
      <sz val="11"/>
      <name val="仿宋"/>
      <charset val="134"/>
    </font>
    <font>
      <sz val="13"/>
      <name val="仿宋"/>
      <charset val="134"/>
    </font>
    <font>
      <sz val="13"/>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3" borderId="9" applyNumberFormat="0" applyAlignment="0" applyProtection="0">
      <alignment vertical="center"/>
    </xf>
    <xf numFmtId="0" fontId="22" fillId="4" borderId="10" applyNumberFormat="0" applyAlignment="0" applyProtection="0">
      <alignment vertical="center"/>
    </xf>
    <xf numFmtId="0" fontId="23" fillId="4" borderId="9" applyNumberFormat="0" applyAlignment="0" applyProtection="0">
      <alignment vertical="center"/>
    </xf>
    <xf numFmtId="0" fontId="24" fillId="5"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53">
    <xf numFmtId="0" fontId="0" fillId="0" borderId="0" xfId="0">
      <alignment vertical="center"/>
    </xf>
    <xf numFmtId="0" fontId="0" fillId="0" borderId="0" xfId="0" applyFill="1">
      <alignment vertical="center"/>
    </xf>
    <xf numFmtId="0" fontId="0" fillId="0" borderId="0" xfId="0" applyFill="1">
      <alignment vertical="center"/>
    </xf>
    <xf numFmtId="0" fontId="0" fillId="0" borderId="0" xfId="0" applyFill="1">
      <alignment vertical="center"/>
    </xf>
    <xf numFmtId="0" fontId="1" fillId="0" borderId="0" xfId="0" applyFont="1" applyFill="1">
      <alignment vertical="center"/>
    </xf>
    <xf numFmtId="0" fontId="0" fillId="0" borderId="0" xfId="0" applyAlignment="1">
      <alignment horizontal="center" vertical="center"/>
    </xf>
    <xf numFmtId="0" fontId="1" fillId="0" borderId="0" xfId="0" applyFont="1" applyAlignment="1">
      <alignment horizontal="center" vertical="center"/>
    </xf>
    <xf numFmtId="176" fontId="1" fillId="0" borderId="0" xfId="0" applyNumberFormat="1" applyFont="1" applyAlignment="1">
      <alignment horizontal="center" vertical="center"/>
    </xf>
    <xf numFmtId="0" fontId="2" fillId="0" borderId="0" xfId="0" applyFont="1" applyFill="1" applyAlignment="1">
      <alignment horizontal="center" vertical="center" wrapText="1"/>
    </xf>
    <xf numFmtId="176" fontId="2" fillId="0" borderId="0" xfId="0" applyNumberFormat="1" applyFont="1" applyFill="1" applyAlignment="1">
      <alignment horizontal="center"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176" fontId="4" fillId="0" borderId="0" xfId="0" applyNumberFormat="1" applyFont="1" applyFill="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2" fontId="8" fillId="0" borderId="1" xfId="0" applyNumberFormat="1" applyFont="1" applyFill="1" applyBorder="1" applyAlignment="1">
      <alignment horizontal="center" vertical="center" wrapText="1"/>
    </xf>
    <xf numFmtId="0" fontId="7" fillId="0" borderId="1" xfId="0" applyFont="1" applyFill="1" applyBorder="1" applyAlignment="1">
      <alignment vertical="center" wrapText="1"/>
    </xf>
    <xf numFmtId="0" fontId="8"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2" fontId="8" fillId="0" borderId="1" xfId="0" applyNumberFormat="1" applyFont="1" applyFill="1" applyBorder="1" applyAlignment="1">
      <alignment horizontal="center" vertical="center" wrapText="1"/>
    </xf>
    <xf numFmtId="0" fontId="7" fillId="0" borderId="1" xfId="0" applyFont="1" applyFill="1" applyBorder="1" applyAlignment="1">
      <alignment vertical="center" wrapText="1"/>
    </xf>
    <xf numFmtId="0" fontId="9" fillId="0" borderId="1" xfId="0" applyFont="1" applyFill="1" applyBorder="1" applyAlignment="1">
      <alignment vertical="center" wrapText="1"/>
    </xf>
    <xf numFmtId="0" fontId="9"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2" fontId="8" fillId="0" borderId="1" xfId="0" applyNumberFormat="1" applyFont="1" applyFill="1" applyBorder="1" applyAlignment="1">
      <alignment horizontal="center" vertical="center" wrapText="1"/>
    </xf>
    <xf numFmtId="0" fontId="9" fillId="0" borderId="1" xfId="0" applyFont="1" applyFill="1" applyBorder="1" applyAlignment="1">
      <alignment vertical="center" wrapText="1"/>
    </xf>
    <xf numFmtId="0" fontId="8" fillId="0" borderId="1" xfId="0" applyNumberFormat="1" applyFont="1" applyFill="1" applyBorder="1" applyAlignment="1">
      <alignment horizontal="center" vertical="center" wrapText="1"/>
    </xf>
    <xf numFmtId="0" fontId="8" fillId="0" borderId="1" xfId="0" applyFont="1" applyFill="1" applyBorder="1" applyAlignment="1">
      <alignment vertical="center" wrapText="1"/>
    </xf>
    <xf numFmtId="0" fontId="10"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0" borderId="4" xfId="0" applyFont="1" applyBorder="1" applyAlignment="1">
      <alignment horizontal="center" vertical="center" wrapText="1"/>
    </xf>
    <xf numFmtId="176" fontId="11" fillId="0" borderId="1" xfId="0" applyNumberFormat="1" applyFont="1" applyBorder="1" applyAlignment="1">
      <alignment horizontal="center" vertical="center" wrapText="1"/>
    </xf>
    <xf numFmtId="177" fontId="11"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8" fillId="0" borderId="5" xfId="0" applyFont="1" applyBorder="1" applyAlignment="1">
      <alignment horizontal="center" vertical="center" wrapText="1"/>
    </xf>
    <xf numFmtId="176" fontId="8" fillId="0" borderId="5" xfId="0" applyNumberFormat="1" applyFont="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1" fillId="0" borderId="0" xfId="0" applyFont="1" applyAlignment="1">
      <alignment horizontal="center" vertical="center" wrapText="1"/>
    </xf>
    <xf numFmtId="176" fontId="11"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52"/>
  <sheetViews>
    <sheetView tabSelected="1" zoomScale="70" zoomScaleNormal="70" workbookViewId="0">
      <pane xSplit="1" ySplit="4" topLeftCell="B33" activePane="bottomRight" state="frozen"/>
      <selection/>
      <selection pane="topRight"/>
      <selection pane="bottomLeft"/>
      <selection pane="bottomRight" activeCell="A12" sqref="$A12:$XFD35"/>
    </sheetView>
  </sheetViews>
  <sheetFormatPr defaultColWidth="9" defaultRowHeight="14"/>
  <cols>
    <col min="2" max="2" width="13.6363636363636" style="5" customWidth="1"/>
    <col min="3" max="3" width="14.5454545454545" style="5" customWidth="1"/>
    <col min="4" max="4" width="18.7" style="5" customWidth="1"/>
    <col min="5" max="5" width="13.2454545454545" style="5" customWidth="1"/>
    <col min="6" max="6" width="46.1" style="5" customWidth="1"/>
    <col min="7" max="7" width="11.8727272727273" style="6" customWidth="1"/>
    <col min="8" max="8" width="15.2545454545455" style="7" customWidth="1"/>
    <col min="9" max="9" width="22.7181818181818" style="6" customWidth="1"/>
    <col min="10" max="10" width="46.4909090909091" style="5" customWidth="1"/>
    <col min="11" max="11" width="14.3727272727273" style="6" customWidth="1"/>
    <col min="12" max="12" width="12.6" customWidth="1"/>
  </cols>
  <sheetData>
    <row r="1" s="1" customFormat="1" ht="47.45" customHeight="1" spans="1:12">
      <c r="A1" s="8" t="s">
        <v>0</v>
      </c>
      <c r="B1" s="8"/>
      <c r="C1" s="8"/>
      <c r="D1" s="8"/>
      <c r="E1" s="8"/>
      <c r="F1" s="8"/>
      <c r="G1" s="8"/>
      <c r="H1" s="9"/>
      <c r="I1" s="8"/>
      <c r="J1" s="8"/>
      <c r="K1" s="8"/>
      <c r="L1" s="8"/>
    </row>
    <row r="2" s="1" customFormat="1" ht="30.95" customHeight="1" spans="1:12">
      <c r="A2" s="10" t="s">
        <v>1</v>
      </c>
      <c r="B2" s="11"/>
      <c r="C2" s="11"/>
      <c r="D2" s="11"/>
      <c r="E2" s="11"/>
      <c r="F2" s="11"/>
      <c r="G2" s="12"/>
      <c r="H2" s="13"/>
      <c r="I2" s="12"/>
      <c r="J2" s="11"/>
      <c r="K2" s="12"/>
      <c r="L2" s="10"/>
    </row>
    <row r="3" s="1" customFormat="1" ht="37.5" customHeight="1" spans="1:12">
      <c r="A3" s="10" t="s">
        <v>2</v>
      </c>
      <c r="B3" s="11"/>
      <c r="C3" s="11"/>
      <c r="D3" s="11"/>
      <c r="E3" s="11"/>
      <c r="F3" s="11"/>
      <c r="G3" s="12"/>
      <c r="H3" s="13"/>
      <c r="I3" s="12"/>
      <c r="J3" s="11"/>
      <c r="K3" s="12"/>
      <c r="L3" s="10"/>
    </row>
    <row r="4" s="1" customFormat="1" ht="66" customHeight="1" spans="1:12">
      <c r="A4" s="14" t="s">
        <v>3</v>
      </c>
      <c r="B4" s="14" t="s">
        <v>4</v>
      </c>
      <c r="C4" s="14" t="s">
        <v>5</v>
      </c>
      <c r="D4" s="14" t="s">
        <v>6</v>
      </c>
      <c r="E4" s="14" t="s">
        <v>7</v>
      </c>
      <c r="F4" s="14" t="s">
        <v>8</v>
      </c>
      <c r="G4" s="15" t="s">
        <v>9</v>
      </c>
      <c r="H4" s="16" t="s">
        <v>10</v>
      </c>
      <c r="I4" s="15" t="s">
        <v>11</v>
      </c>
      <c r="J4" s="14" t="s">
        <v>12</v>
      </c>
      <c r="K4" s="15" t="s">
        <v>13</v>
      </c>
      <c r="L4" s="14" t="s">
        <v>14</v>
      </c>
    </row>
    <row r="5" s="1" customFormat="1" ht="102" customHeight="1" spans="1:12">
      <c r="A5" s="17">
        <v>1</v>
      </c>
      <c r="B5" s="18" t="s">
        <v>15</v>
      </c>
      <c r="C5" s="18" t="s">
        <v>16</v>
      </c>
      <c r="D5" s="18" t="s">
        <v>17</v>
      </c>
      <c r="E5" s="18" t="s">
        <v>18</v>
      </c>
      <c r="F5" s="18" t="s">
        <v>19</v>
      </c>
      <c r="G5" s="18">
        <v>205</v>
      </c>
      <c r="H5" s="19">
        <v>20399.5</v>
      </c>
      <c r="I5" s="20">
        <f>H5*0.636</f>
        <v>12974.082</v>
      </c>
      <c r="J5" s="18" t="s">
        <v>20</v>
      </c>
      <c r="K5" s="18" t="s">
        <v>21</v>
      </c>
      <c r="L5" s="17"/>
    </row>
    <row r="6" s="1" customFormat="1" ht="108" customHeight="1" spans="1:12">
      <c r="A6" s="17">
        <v>2</v>
      </c>
      <c r="B6" s="18" t="s">
        <v>15</v>
      </c>
      <c r="C6" s="18" t="s">
        <v>16</v>
      </c>
      <c r="D6" s="18" t="s">
        <v>22</v>
      </c>
      <c r="E6" s="18" t="s">
        <v>23</v>
      </c>
      <c r="F6" s="18" t="s">
        <v>24</v>
      </c>
      <c r="G6" s="18">
        <v>36</v>
      </c>
      <c r="H6" s="19">
        <v>3276</v>
      </c>
      <c r="I6" s="20">
        <f t="shared" ref="I6:I48" si="0">H6*0.636</f>
        <v>2083.536</v>
      </c>
      <c r="J6" s="18" t="s">
        <v>25</v>
      </c>
      <c r="K6" s="18" t="s">
        <v>26</v>
      </c>
      <c r="L6" s="21"/>
    </row>
    <row r="7" s="1" customFormat="1" ht="107" customHeight="1" spans="1:12">
      <c r="A7" s="17">
        <v>3</v>
      </c>
      <c r="B7" s="18" t="s">
        <v>15</v>
      </c>
      <c r="C7" s="18" t="s">
        <v>16</v>
      </c>
      <c r="D7" s="18" t="s">
        <v>27</v>
      </c>
      <c r="E7" s="18" t="s">
        <v>28</v>
      </c>
      <c r="F7" s="18" t="s">
        <v>29</v>
      </c>
      <c r="G7" s="18">
        <v>983.5</v>
      </c>
      <c r="H7" s="19">
        <v>41760.5</v>
      </c>
      <c r="I7" s="20">
        <f t="shared" si="0"/>
        <v>26559.678</v>
      </c>
      <c r="J7" s="18" t="s">
        <v>30</v>
      </c>
      <c r="K7" s="18" t="s">
        <v>21</v>
      </c>
      <c r="L7" s="21"/>
    </row>
    <row r="8" s="1" customFormat="1" ht="118" customHeight="1" spans="1:12">
      <c r="A8" s="17">
        <v>4</v>
      </c>
      <c r="B8" s="18" t="s">
        <v>15</v>
      </c>
      <c r="C8" s="18" t="s">
        <v>16</v>
      </c>
      <c r="D8" s="18" t="s">
        <v>31</v>
      </c>
      <c r="E8" s="18" t="s">
        <v>32</v>
      </c>
      <c r="F8" s="18" t="s">
        <v>33</v>
      </c>
      <c r="G8" s="22">
        <v>66.5</v>
      </c>
      <c r="H8" s="19">
        <v>731.5</v>
      </c>
      <c r="I8" s="20">
        <f t="shared" si="0"/>
        <v>465.234</v>
      </c>
      <c r="J8" s="18" t="s">
        <v>34</v>
      </c>
      <c r="K8" s="18" t="s">
        <v>35</v>
      </c>
      <c r="L8" s="21"/>
    </row>
    <row r="9" s="2" customFormat="1" ht="109" customHeight="1" spans="1:12">
      <c r="A9" s="23">
        <v>5</v>
      </c>
      <c r="B9" s="24" t="s">
        <v>15</v>
      </c>
      <c r="C9" s="24" t="s">
        <v>16</v>
      </c>
      <c r="D9" s="24" t="s">
        <v>36</v>
      </c>
      <c r="E9" s="24" t="s">
        <v>37</v>
      </c>
      <c r="F9" s="24" t="s">
        <v>38</v>
      </c>
      <c r="G9" s="25">
        <v>137</v>
      </c>
      <c r="H9" s="26">
        <v>5617</v>
      </c>
      <c r="I9" s="27">
        <f t="shared" si="0"/>
        <v>3572.412</v>
      </c>
      <c r="J9" s="24" t="s">
        <v>39</v>
      </c>
      <c r="K9" s="24" t="s">
        <v>40</v>
      </c>
      <c r="L9" s="28"/>
    </row>
    <row r="10" s="1" customFormat="1" ht="112" customHeight="1" spans="1:12">
      <c r="A10" s="17">
        <v>6</v>
      </c>
      <c r="B10" s="18" t="s">
        <v>15</v>
      </c>
      <c r="C10" s="18" t="s">
        <v>16</v>
      </c>
      <c r="D10" s="18" t="s">
        <v>41</v>
      </c>
      <c r="E10" s="18" t="s">
        <v>42</v>
      </c>
      <c r="F10" s="18" t="s">
        <v>43</v>
      </c>
      <c r="G10" s="18">
        <v>21</v>
      </c>
      <c r="H10" s="19">
        <v>695</v>
      </c>
      <c r="I10" s="20">
        <f t="shared" si="0"/>
        <v>442.02</v>
      </c>
      <c r="J10" s="18" t="s">
        <v>44</v>
      </c>
      <c r="K10" s="18" t="s">
        <v>45</v>
      </c>
      <c r="L10" s="21"/>
    </row>
    <row r="11" s="1" customFormat="1" ht="111" customHeight="1" spans="1:12">
      <c r="A11" s="17">
        <v>7</v>
      </c>
      <c r="B11" s="18" t="s">
        <v>15</v>
      </c>
      <c r="C11" s="18" t="s">
        <v>46</v>
      </c>
      <c r="D11" s="18" t="s">
        <v>47</v>
      </c>
      <c r="E11" s="18" t="s">
        <v>42</v>
      </c>
      <c r="F11" s="18" t="s">
        <v>48</v>
      </c>
      <c r="G11" s="22">
        <v>11</v>
      </c>
      <c r="H11" s="19">
        <v>3718</v>
      </c>
      <c r="I11" s="20">
        <f t="shared" si="0"/>
        <v>2364.648</v>
      </c>
      <c r="J11" s="18" t="s">
        <v>49</v>
      </c>
      <c r="K11" s="18" t="s">
        <v>40</v>
      </c>
      <c r="L11" s="29"/>
    </row>
    <row r="12" s="2" customFormat="1" ht="96" customHeight="1" spans="1:12">
      <c r="A12" s="23">
        <v>8</v>
      </c>
      <c r="B12" s="24" t="s">
        <v>15</v>
      </c>
      <c r="C12" s="24" t="s">
        <v>46</v>
      </c>
      <c r="D12" s="24" t="s">
        <v>50</v>
      </c>
      <c r="E12" s="24" t="s">
        <v>51</v>
      </c>
      <c r="F12" s="24" t="s">
        <v>52</v>
      </c>
      <c r="G12" s="24">
        <v>455</v>
      </c>
      <c r="H12" s="26">
        <v>14560</v>
      </c>
      <c r="I12" s="27">
        <f t="shared" si="0"/>
        <v>9260.16</v>
      </c>
      <c r="J12" s="24" t="s">
        <v>53</v>
      </c>
      <c r="K12" s="24" t="s">
        <v>54</v>
      </c>
      <c r="L12" s="30"/>
    </row>
    <row r="13" s="3" customFormat="1" ht="195" customHeight="1" spans="1:12">
      <c r="A13" s="31">
        <v>9</v>
      </c>
      <c r="B13" s="32" t="s">
        <v>15</v>
      </c>
      <c r="C13" s="32" t="s">
        <v>46</v>
      </c>
      <c r="D13" s="32" t="s">
        <v>55</v>
      </c>
      <c r="E13" s="32" t="s">
        <v>56</v>
      </c>
      <c r="F13" s="32" t="s">
        <v>57</v>
      </c>
      <c r="G13" s="32">
        <v>298</v>
      </c>
      <c r="H13" s="33">
        <v>89400</v>
      </c>
      <c r="I13" s="34">
        <f t="shared" si="0"/>
        <v>56858.4</v>
      </c>
      <c r="J13" s="32" t="s">
        <v>58</v>
      </c>
      <c r="K13" s="32" t="s">
        <v>40</v>
      </c>
      <c r="L13" s="35"/>
    </row>
    <row r="14" s="2" customFormat="1" ht="85" customHeight="1" spans="1:12">
      <c r="A14" s="23">
        <v>10</v>
      </c>
      <c r="B14" s="24" t="s">
        <v>15</v>
      </c>
      <c r="C14" s="24" t="s">
        <v>46</v>
      </c>
      <c r="D14" s="24" t="s">
        <v>59</v>
      </c>
      <c r="E14" s="24" t="s">
        <v>37</v>
      </c>
      <c r="F14" s="24" t="s">
        <v>60</v>
      </c>
      <c r="G14" s="24">
        <v>604</v>
      </c>
      <c r="H14" s="26">
        <v>24764</v>
      </c>
      <c r="I14" s="27">
        <f t="shared" si="0"/>
        <v>15749.904</v>
      </c>
      <c r="J14" s="24" t="s">
        <v>61</v>
      </c>
      <c r="K14" s="24" t="s">
        <v>40</v>
      </c>
      <c r="L14" s="30"/>
    </row>
    <row r="15" s="3" customFormat="1" ht="82" customHeight="1" spans="1:12">
      <c r="A15" s="31">
        <v>11</v>
      </c>
      <c r="B15" s="32" t="s">
        <v>15</v>
      </c>
      <c r="C15" s="32" t="s">
        <v>46</v>
      </c>
      <c r="D15" s="32" t="s">
        <v>62</v>
      </c>
      <c r="E15" s="32" t="s">
        <v>37</v>
      </c>
      <c r="F15" s="32" t="s">
        <v>63</v>
      </c>
      <c r="G15" s="32">
        <v>445</v>
      </c>
      <c r="H15" s="33">
        <v>8900</v>
      </c>
      <c r="I15" s="34">
        <f t="shared" si="0"/>
        <v>5660.4</v>
      </c>
      <c r="J15" s="32" t="s">
        <v>64</v>
      </c>
      <c r="K15" s="32" t="s">
        <v>40</v>
      </c>
      <c r="L15" s="35"/>
    </row>
    <row r="16" s="3" customFormat="1" ht="100" customHeight="1" spans="1:12">
      <c r="A16" s="31">
        <v>12</v>
      </c>
      <c r="B16" s="32" t="s">
        <v>15</v>
      </c>
      <c r="C16" s="32" t="s">
        <v>46</v>
      </c>
      <c r="D16" s="32" t="s">
        <v>65</v>
      </c>
      <c r="E16" s="32" t="s">
        <v>37</v>
      </c>
      <c r="F16" s="32" t="s">
        <v>66</v>
      </c>
      <c r="G16" s="32">
        <v>164</v>
      </c>
      <c r="H16" s="33">
        <v>30780</v>
      </c>
      <c r="I16" s="34">
        <f t="shared" si="0"/>
        <v>19576.08</v>
      </c>
      <c r="J16" s="32" t="s">
        <v>67</v>
      </c>
      <c r="K16" s="32" t="s">
        <v>40</v>
      </c>
      <c r="L16" s="35"/>
    </row>
    <row r="17" s="3" customFormat="1" ht="93" customHeight="1" spans="1:12">
      <c r="A17" s="31">
        <v>13</v>
      </c>
      <c r="B17" s="32" t="s">
        <v>15</v>
      </c>
      <c r="C17" s="32" t="s">
        <v>46</v>
      </c>
      <c r="D17" s="32" t="s">
        <v>68</v>
      </c>
      <c r="E17" s="32" t="s">
        <v>37</v>
      </c>
      <c r="F17" s="32" t="s">
        <v>69</v>
      </c>
      <c r="G17" s="32">
        <v>5</v>
      </c>
      <c r="H17" s="33">
        <v>250</v>
      </c>
      <c r="I17" s="34">
        <f t="shared" si="0"/>
        <v>159</v>
      </c>
      <c r="J17" s="32" t="s">
        <v>70</v>
      </c>
      <c r="K17" s="32" t="s">
        <v>40</v>
      </c>
      <c r="L17" s="35"/>
    </row>
    <row r="18" s="2" customFormat="1" ht="85" customHeight="1" spans="1:12">
      <c r="A18" s="23">
        <v>14</v>
      </c>
      <c r="B18" s="24" t="s">
        <v>15</v>
      </c>
      <c r="C18" s="24" t="s">
        <v>46</v>
      </c>
      <c r="D18" s="24" t="s">
        <v>71</v>
      </c>
      <c r="E18" s="24" t="s">
        <v>37</v>
      </c>
      <c r="F18" s="24" t="s">
        <v>72</v>
      </c>
      <c r="G18" s="24">
        <v>4</v>
      </c>
      <c r="H18" s="26">
        <v>120</v>
      </c>
      <c r="I18" s="27">
        <f t="shared" si="0"/>
        <v>76.32</v>
      </c>
      <c r="J18" s="24" t="s">
        <v>73</v>
      </c>
      <c r="K18" s="24" t="s">
        <v>40</v>
      </c>
      <c r="L18" s="30"/>
    </row>
    <row r="19" s="3" customFormat="1" ht="83" customHeight="1" spans="1:12">
      <c r="A19" s="31">
        <v>15</v>
      </c>
      <c r="B19" s="32" t="s">
        <v>15</v>
      </c>
      <c r="C19" s="32" t="s">
        <v>46</v>
      </c>
      <c r="D19" s="32" t="s">
        <v>74</v>
      </c>
      <c r="E19" s="32" t="s">
        <v>37</v>
      </c>
      <c r="F19" s="32" t="s">
        <v>75</v>
      </c>
      <c r="G19" s="32">
        <v>518</v>
      </c>
      <c r="H19" s="33">
        <v>6216</v>
      </c>
      <c r="I19" s="34">
        <f t="shared" si="0"/>
        <v>3953.376</v>
      </c>
      <c r="J19" s="32" t="s">
        <v>76</v>
      </c>
      <c r="K19" s="32" t="s">
        <v>40</v>
      </c>
      <c r="L19" s="35"/>
    </row>
    <row r="20" s="3" customFormat="1" ht="75" customHeight="1" spans="1:12">
      <c r="A20" s="31">
        <v>16</v>
      </c>
      <c r="B20" s="32" t="s">
        <v>15</v>
      </c>
      <c r="C20" s="32" t="s">
        <v>46</v>
      </c>
      <c r="D20" s="32" t="s">
        <v>77</v>
      </c>
      <c r="E20" s="32" t="s">
        <v>37</v>
      </c>
      <c r="F20" s="32" t="s">
        <v>78</v>
      </c>
      <c r="G20" s="32">
        <v>1132</v>
      </c>
      <c r="H20" s="33">
        <v>13584</v>
      </c>
      <c r="I20" s="34">
        <f t="shared" si="0"/>
        <v>8639.424</v>
      </c>
      <c r="J20" s="32" t="s">
        <v>79</v>
      </c>
      <c r="K20" s="32" t="s">
        <v>40</v>
      </c>
      <c r="L20" s="35"/>
    </row>
    <row r="21" s="3" customFormat="1" ht="74" customHeight="1" spans="1:12">
      <c r="A21" s="31">
        <v>17</v>
      </c>
      <c r="B21" s="32" t="s">
        <v>15</v>
      </c>
      <c r="C21" s="32" t="s">
        <v>46</v>
      </c>
      <c r="D21" s="32" t="s">
        <v>80</v>
      </c>
      <c r="E21" s="32" t="s">
        <v>37</v>
      </c>
      <c r="F21" s="32" t="s">
        <v>81</v>
      </c>
      <c r="G21" s="32">
        <v>9</v>
      </c>
      <c r="H21" s="33">
        <v>1260</v>
      </c>
      <c r="I21" s="34">
        <f t="shared" si="0"/>
        <v>801.36</v>
      </c>
      <c r="J21" s="32" t="s">
        <v>82</v>
      </c>
      <c r="K21" s="32" t="s">
        <v>40</v>
      </c>
      <c r="L21" s="35"/>
    </row>
    <row r="22" s="3" customFormat="1" ht="77" customHeight="1" spans="1:12">
      <c r="A22" s="31">
        <v>18</v>
      </c>
      <c r="B22" s="32" t="s">
        <v>15</v>
      </c>
      <c r="C22" s="32" t="s">
        <v>46</v>
      </c>
      <c r="D22" s="32" t="s">
        <v>83</v>
      </c>
      <c r="E22" s="32" t="s">
        <v>84</v>
      </c>
      <c r="F22" s="32" t="s">
        <v>85</v>
      </c>
      <c r="G22" s="32">
        <v>5</v>
      </c>
      <c r="H22" s="33">
        <v>765</v>
      </c>
      <c r="I22" s="34">
        <f t="shared" si="0"/>
        <v>486.54</v>
      </c>
      <c r="J22" s="32" t="s">
        <v>86</v>
      </c>
      <c r="K22" s="32" t="s">
        <v>87</v>
      </c>
      <c r="L22" s="35"/>
    </row>
    <row r="23" s="3" customFormat="1" ht="80" customHeight="1" spans="1:12">
      <c r="A23" s="31">
        <v>19</v>
      </c>
      <c r="B23" s="32" t="s">
        <v>15</v>
      </c>
      <c r="C23" s="32" t="s">
        <v>46</v>
      </c>
      <c r="D23" s="32" t="s">
        <v>88</v>
      </c>
      <c r="E23" s="32" t="s">
        <v>89</v>
      </c>
      <c r="F23" s="32" t="s">
        <v>90</v>
      </c>
      <c r="G23" s="32">
        <v>1095</v>
      </c>
      <c r="H23" s="33">
        <v>10535</v>
      </c>
      <c r="I23" s="34">
        <f t="shared" si="0"/>
        <v>6700.26</v>
      </c>
      <c r="J23" s="32" t="s">
        <v>91</v>
      </c>
      <c r="K23" s="32" t="s">
        <v>40</v>
      </c>
      <c r="L23" s="35"/>
    </row>
    <row r="24" s="3" customFormat="1" ht="102" customHeight="1" spans="1:12">
      <c r="A24" s="31">
        <v>20</v>
      </c>
      <c r="B24" s="32" t="s">
        <v>15</v>
      </c>
      <c r="C24" s="32" t="s">
        <v>92</v>
      </c>
      <c r="D24" s="32" t="s">
        <v>93</v>
      </c>
      <c r="E24" s="32" t="s">
        <v>94</v>
      </c>
      <c r="F24" s="32" t="s">
        <v>95</v>
      </c>
      <c r="G24" s="36">
        <v>1201</v>
      </c>
      <c r="H24" s="33">
        <v>5404.5</v>
      </c>
      <c r="I24" s="34">
        <f t="shared" si="0"/>
        <v>3437.262</v>
      </c>
      <c r="J24" s="32" t="s">
        <v>96</v>
      </c>
      <c r="K24" s="32" t="s">
        <v>40</v>
      </c>
      <c r="L24" s="35"/>
    </row>
    <row r="25" s="3" customFormat="1" ht="97" customHeight="1" spans="1:12">
      <c r="A25" s="31">
        <v>21</v>
      </c>
      <c r="B25" s="32" t="s">
        <v>15</v>
      </c>
      <c r="C25" s="32" t="s">
        <v>92</v>
      </c>
      <c r="D25" s="32" t="s">
        <v>97</v>
      </c>
      <c r="E25" s="32" t="s">
        <v>94</v>
      </c>
      <c r="F25" s="32" t="s">
        <v>98</v>
      </c>
      <c r="G25" s="36">
        <v>282</v>
      </c>
      <c r="H25" s="33">
        <v>14100</v>
      </c>
      <c r="I25" s="34">
        <f t="shared" si="0"/>
        <v>8967.6</v>
      </c>
      <c r="J25" s="32" t="s">
        <v>96</v>
      </c>
      <c r="K25" s="32" t="s">
        <v>40</v>
      </c>
      <c r="L25" s="35"/>
    </row>
    <row r="26" s="3" customFormat="1" ht="98" customHeight="1" spans="1:12">
      <c r="A26" s="31">
        <v>22</v>
      </c>
      <c r="B26" s="32" t="s">
        <v>15</v>
      </c>
      <c r="C26" s="32" t="s">
        <v>92</v>
      </c>
      <c r="D26" s="32" t="s">
        <v>99</v>
      </c>
      <c r="E26" s="32" t="s">
        <v>100</v>
      </c>
      <c r="F26" s="32" t="s">
        <v>101</v>
      </c>
      <c r="G26" s="36">
        <v>9080</v>
      </c>
      <c r="H26" s="33">
        <v>49940</v>
      </c>
      <c r="I26" s="34">
        <f t="shared" si="0"/>
        <v>31761.84</v>
      </c>
      <c r="J26" s="32" t="s">
        <v>96</v>
      </c>
      <c r="K26" s="32" t="s">
        <v>102</v>
      </c>
      <c r="L26" s="35"/>
    </row>
    <row r="27" s="3" customFormat="1" ht="79" customHeight="1" spans="1:12">
      <c r="A27" s="31">
        <v>23</v>
      </c>
      <c r="B27" s="32" t="s">
        <v>15</v>
      </c>
      <c r="C27" s="32" t="s">
        <v>103</v>
      </c>
      <c r="D27" s="32" t="s">
        <v>104</v>
      </c>
      <c r="E27" s="32" t="s">
        <v>105</v>
      </c>
      <c r="F27" s="32" t="s">
        <v>106</v>
      </c>
      <c r="G27" s="36">
        <v>3419</v>
      </c>
      <c r="H27" s="33">
        <v>147017</v>
      </c>
      <c r="I27" s="34">
        <f t="shared" si="0"/>
        <v>93502.812</v>
      </c>
      <c r="J27" s="32" t="s">
        <v>107</v>
      </c>
      <c r="K27" s="32" t="s">
        <v>40</v>
      </c>
      <c r="L27" s="35"/>
    </row>
    <row r="28" s="2" customFormat="1" ht="85" customHeight="1" spans="1:12">
      <c r="A28" s="23">
        <v>24</v>
      </c>
      <c r="B28" s="24" t="s">
        <v>15</v>
      </c>
      <c r="C28" s="24" t="s">
        <v>103</v>
      </c>
      <c r="D28" s="24" t="s">
        <v>108</v>
      </c>
      <c r="E28" s="24" t="s">
        <v>18</v>
      </c>
      <c r="F28" s="24" t="s">
        <v>109</v>
      </c>
      <c r="G28" s="24">
        <v>4125</v>
      </c>
      <c r="H28" s="26">
        <v>18562.5</v>
      </c>
      <c r="I28" s="27">
        <f t="shared" si="0"/>
        <v>11805.75</v>
      </c>
      <c r="J28" s="24" t="s">
        <v>110</v>
      </c>
      <c r="K28" s="24" t="s">
        <v>40</v>
      </c>
      <c r="L28" s="30"/>
    </row>
    <row r="29" s="3" customFormat="1" ht="117" customHeight="1" spans="1:12">
      <c r="A29" s="31">
        <v>25</v>
      </c>
      <c r="B29" s="32" t="s">
        <v>15</v>
      </c>
      <c r="C29" s="32" t="s">
        <v>103</v>
      </c>
      <c r="D29" s="32" t="s">
        <v>111</v>
      </c>
      <c r="E29" s="32" t="s">
        <v>51</v>
      </c>
      <c r="F29" s="32" t="s">
        <v>112</v>
      </c>
      <c r="G29" s="32">
        <v>2982</v>
      </c>
      <c r="H29" s="33">
        <v>55488</v>
      </c>
      <c r="I29" s="34">
        <f t="shared" si="0"/>
        <v>35290.368</v>
      </c>
      <c r="J29" s="32" t="s">
        <v>113</v>
      </c>
      <c r="K29" s="32" t="s">
        <v>114</v>
      </c>
      <c r="L29" s="35"/>
    </row>
    <row r="30" s="3" customFormat="1" ht="84" customHeight="1" spans="1:12">
      <c r="A30" s="31">
        <v>26</v>
      </c>
      <c r="B30" s="32" t="s">
        <v>15</v>
      </c>
      <c r="C30" s="32" t="s">
        <v>103</v>
      </c>
      <c r="D30" s="32" t="s">
        <v>115</v>
      </c>
      <c r="E30" s="32" t="s">
        <v>116</v>
      </c>
      <c r="F30" s="32" t="s">
        <v>117</v>
      </c>
      <c r="G30" s="36">
        <v>83</v>
      </c>
      <c r="H30" s="33">
        <v>3226</v>
      </c>
      <c r="I30" s="34">
        <f t="shared" si="0"/>
        <v>2051.736</v>
      </c>
      <c r="J30" s="32" t="s">
        <v>118</v>
      </c>
      <c r="K30" s="32" t="s">
        <v>119</v>
      </c>
      <c r="L30" s="35"/>
    </row>
    <row r="31" s="3" customFormat="1" ht="92" customHeight="1" spans="1:12">
      <c r="A31" s="31">
        <v>27</v>
      </c>
      <c r="B31" s="32" t="s">
        <v>15</v>
      </c>
      <c r="C31" s="32" t="s">
        <v>103</v>
      </c>
      <c r="D31" s="32" t="s">
        <v>120</v>
      </c>
      <c r="E31" s="32" t="s">
        <v>51</v>
      </c>
      <c r="F31" s="32" t="s">
        <v>121</v>
      </c>
      <c r="G31" s="32">
        <v>310</v>
      </c>
      <c r="H31" s="33">
        <v>12926</v>
      </c>
      <c r="I31" s="34">
        <f t="shared" si="0"/>
        <v>8220.936</v>
      </c>
      <c r="J31" s="32" t="s">
        <v>122</v>
      </c>
      <c r="K31" s="32" t="s">
        <v>123</v>
      </c>
      <c r="L31" s="35"/>
    </row>
    <row r="32" s="3" customFormat="1" ht="144" customHeight="1" spans="1:12">
      <c r="A32" s="31">
        <v>28</v>
      </c>
      <c r="B32" s="32" t="s">
        <v>15</v>
      </c>
      <c r="C32" s="32" t="s">
        <v>103</v>
      </c>
      <c r="D32" s="32" t="s">
        <v>124</v>
      </c>
      <c r="E32" s="32" t="s">
        <v>18</v>
      </c>
      <c r="F32" s="32" t="s">
        <v>125</v>
      </c>
      <c r="G32" s="36">
        <v>15339</v>
      </c>
      <c r="H32" s="33">
        <v>230085</v>
      </c>
      <c r="I32" s="34">
        <f t="shared" si="0"/>
        <v>146334.06</v>
      </c>
      <c r="J32" s="32" t="s">
        <v>126</v>
      </c>
      <c r="K32" s="32" t="s">
        <v>127</v>
      </c>
      <c r="L32" s="35"/>
    </row>
    <row r="33" s="3" customFormat="1" ht="110" customHeight="1" spans="1:12">
      <c r="A33" s="31">
        <v>29</v>
      </c>
      <c r="B33" s="32" t="s">
        <v>15</v>
      </c>
      <c r="C33" s="32" t="s">
        <v>103</v>
      </c>
      <c r="D33" s="32" t="s">
        <v>128</v>
      </c>
      <c r="E33" s="32" t="s">
        <v>116</v>
      </c>
      <c r="F33" s="32" t="s">
        <v>129</v>
      </c>
      <c r="G33" s="32">
        <v>3</v>
      </c>
      <c r="H33" s="33">
        <v>713</v>
      </c>
      <c r="I33" s="34">
        <f t="shared" si="0"/>
        <v>453.468</v>
      </c>
      <c r="J33" s="32" t="s">
        <v>130</v>
      </c>
      <c r="K33" s="32" t="s">
        <v>131</v>
      </c>
      <c r="L33" s="35"/>
    </row>
    <row r="34" s="3" customFormat="1" ht="85" customHeight="1" spans="1:12">
      <c r="A34" s="31">
        <v>30</v>
      </c>
      <c r="B34" s="32" t="s">
        <v>15</v>
      </c>
      <c r="C34" s="32" t="s">
        <v>103</v>
      </c>
      <c r="D34" s="32" t="s">
        <v>132</v>
      </c>
      <c r="E34" s="32" t="s">
        <v>133</v>
      </c>
      <c r="F34" s="32" t="s">
        <v>134</v>
      </c>
      <c r="G34" s="32">
        <v>63</v>
      </c>
      <c r="H34" s="33">
        <v>8073</v>
      </c>
      <c r="I34" s="34">
        <f t="shared" si="0"/>
        <v>5134.428</v>
      </c>
      <c r="J34" s="32" t="s">
        <v>135</v>
      </c>
      <c r="K34" s="32" t="s">
        <v>136</v>
      </c>
      <c r="L34" s="35"/>
    </row>
    <row r="35" s="3" customFormat="1" ht="143" customHeight="1" spans="1:12">
      <c r="A35" s="31">
        <v>31</v>
      </c>
      <c r="B35" s="32" t="s">
        <v>15</v>
      </c>
      <c r="C35" s="32" t="s">
        <v>103</v>
      </c>
      <c r="D35" s="32" t="s">
        <v>137</v>
      </c>
      <c r="E35" s="32" t="s">
        <v>42</v>
      </c>
      <c r="F35" s="32" t="s">
        <v>138</v>
      </c>
      <c r="G35" s="32">
        <v>589</v>
      </c>
      <c r="H35" s="33">
        <v>985.5</v>
      </c>
      <c r="I35" s="34">
        <f t="shared" si="0"/>
        <v>626.778</v>
      </c>
      <c r="J35" s="32" t="s">
        <v>139</v>
      </c>
      <c r="K35" s="32" t="s">
        <v>140</v>
      </c>
      <c r="L35" s="35"/>
    </row>
    <row r="36" s="1" customFormat="1" ht="96" customHeight="1" spans="1:12">
      <c r="A36" s="17">
        <v>32</v>
      </c>
      <c r="B36" s="18" t="s">
        <v>15</v>
      </c>
      <c r="C36" s="18" t="s">
        <v>103</v>
      </c>
      <c r="D36" s="18" t="s">
        <v>141</v>
      </c>
      <c r="E36" s="18" t="s">
        <v>42</v>
      </c>
      <c r="F36" s="18" t="s">
        <v>142</v>
      </c>
      <c r="G36" s="22">
        <v>193</v>
      </c>
      <c r="H36" s="19">
        <v>2123</v>
      </c>
      <c r="I36" s="20">
        <f t="shared" si="0"/>
        <v>1350.228</v>
      </c>
      <c r="J36" s="18" t="s">
        <v>143</v>
      </c>
      <c r="K36" s="18" t="s">
        <v>40</v>
      </c>
      <c r="L36" s="29"/>
    </row>
    <row r="37" s="1" customFormat="1" ht="101" customHeight="1" spans="1:12">
      <c r="A37" s="17">
        <v>33</v>
      </c>
      <c r="B37" s="18" t="s">
        <v>15</v>
      </c>
      <c r="C37" s="18" t="s">
        <v>103</v>
      </c>
      <c r="D37" s="18" t="s">
        <v>144</v>
      </c>
      <c r="E37" s="18" t="s">
        <v>42</v>
      </c>
      <c r="F37" s="18" t="s">
        <v>145</v>
      </c>
      <c r="G37" s="18">
        <v>1</v>
      </c>
      <c r="H37" s="19">
        <v>36</v>
      </c>
      <c r="I37" s="20">
        <f t="shared" si="0"/>
        <v>22.896</v>
      </c>
      <c r="J37" s="18" t="s">
        <v>146</v>
      </c>
      <c r="K37" s="18" t="s">
        <v>40</v>
      </c>
      <c r="L37" s="29"/>
    </row>
    <row r="38" s="4" customFormat="1" ht="84" customHeight="1" spans="1:12">
      <c r="A38" s="17">
        <v>34</v>
      </c>
      <c r="B38" s="18" t="s">
        <v>15</v>
      </c>
      <c r="C38" s="18" t="s">
        <v>103</v>
      </c>
      <c r="D38" s="18" t="s">
        <v>147</v>
      </c>
      <c r="E38" s="18" t="s">
        <v>51</v>
      </c>
      <c r="F38" s="18" t="s">
        <v>148</v>
      </c>
      <c r="G38" s="18">
        <v>368</v>
      </c>
      <c r="H38" s="19">
        <v>20522</v>
      </c>
      <c r="I38" s="20">
        <f t="shared" si="0"/>
        <v>13051.992</v>
      </c>
      <c r="J38" s="18" t="s">
        <v>149</v>
      </c>
      <c r="K38" s="18" t="s">
        <v>119</v>
      </c>
      <c r="L38" s="37"/>
    </row>
    <row r="39" s="4" customFormat="1" ht="98" customHeight="1" spans="1:12">
      <c r="A39" s="17">
        <v>35</v>
      </c>
      <c r="B39" s="18" t="s">
        <v>15</v>
      </c>
      <c r="C39" s="18" t="s">
        <v>103</v>
      </c>
      <c r="D39" s="18" t="s">
        <v>150</v>
      </c>
      <c r="E39" s="18" t="s">
        <v>42</v>
      </c>
      <c r="F39" s="18" t="s">
        <v>151</v>
      </c>
      <c r="G39" s="18">
        <v>4684</v>
      </c>
      <c r="H39" s="19">
        <v>23991.95</v>
      </c>
      <c r="I39" s="20">
        <f t="shared" si="0"/>
        <v>15258.8802</v>
      </c>
      <c r="J39" s="18" t="s">
        <v>152</v>
      </c>
      <c r="K39" s="18" t="s">
        <v>40</v>
      </c>
      <c r="L39" s="37"/>
    </row>
    <row r="40" s="4" customFormat="1" ht="84" customHeight="1" spans="1:12">
      <c r="A40" s="17">
        <v>36</v>
      </c>
      <c r="B40" s="18" t="s">
        <v>15</v>
      </c>
      <c r="C40" s="18" t="s">
        <v>103</v>
      </c>
      <c r="D40" s="18" t="s">
        <v>153</v>
      </c>
      <c r="E40" s="18" t="s">
        <v>51</v>
      </c>
      <c r="F40" s="18" t="s">
        <v>154</v>
      </c>
      <c r="G40" s="18">
        <v>269</v>
      </c>
      <c r="H40" s="19">
        <v>6275</v>
      </c>
      <c r="I40" s="20">
        <f t="shared" si="0"/>
        <v>3990.9</v>
      </c>
      <c r="J40" s="18" t="s">
        <v>155</v>
      </c>
      <c r="K40" s="18" t="s">
        <v>40</v>
      </c>
      <c r="L40" s="37"/>
    </row>
    <row r="41" s="4" customFormat="1" ht="84" customHeight="1" spans="1:12">
      <c r="A41" s="17">
        <v>37</v>
      </c>
      <c r="B41" s="18" t="s">
        <v>15</v>
      </c>
      <c r="C41" s="18" t="s">
        <v>103</v>
      </c>
      <c r="D41" s="18" t="s">
        <v>156</v>
      </c>
      <c r="E41" s="18" t="s">
        <v>116</v>
      </c>
      <c r="F41" s="18" t="s">
        <v>157</v>
      </c>
      <c r="G41" s="18">
        <v>16</v>
      </c>
      <c r="H41" s="19">
        <v>1440</v>
      </c>
      <c r="I41" s="20">
        <f t="shared" si="0"/>
        <v>915.84</v>
      </c>
      <c r="J41" s="18" t="s">
        <v>158</v>
      </c>
      <c r="K41" s="18" t="s">
        <v>40</v>
      </c>
      <c r="L41" s="37"/>
    </row>
    <row r="42" s="4" customFormat="1" ht="103" customHeight="1" spans="1:12">
      <c r="A42" s="17">
        <v>38</v>
      </c>
      <c r="B42" s="18" t="s">
        <v>15</v>
      </c>
      <c r="C42" s="18" t="s">
        <v>103</v>
      </c>
      <c r="D42" s="18" t="s">
        <v>159</v>
      </c>
      <c r="E42" s="18" t="s">
        <v>28</v>
      </c>
      <c r="F42" s="18" t="s">
        <v>160</v>
      </c>
      <c r="G42" s="22">
        <v>5343</v>
      </c>
      <c r="H42" s="19">
        <v>288522</v>
      </c>
      <c r="I42" s="20">
        <f t="shared" si="0"/>
        <v>183499.992</v>
      </c>
      <c r="J42" s="18" t="s">
        <v>161</v>
      </c>
      <c r="K42" s="18" t="s">
        <v>40</v>
      </c>
      <c r="L42" s="37"/>
    </row>
    <row r="43" s="1" customFormat="1" ht="100" customHeight="1" spans="1:12">
      <c r="A43" s="17">
        <v>39</v>
      </c>
      <c r="B43" s="18" t="s">
        <v>15</v>
      </c>
      <c r="C43" s="18" t="s">
        <v>162</v>
      </c>
      <c r="D43" s="18" t="s">
        <v>163</v>
      </c>
      <c r="E43" s="18" t="s">
        <v>42</v>
      </c>
      <c r="F43" s="18" t="s">
        <v>164</v>
      </c>
      <c r="G43" s="18">
        <v>1</v>
      </c>
      <c r="H43" s="19">
        <v>14</v>
      </c>
      <c r="I43" s="20">
        <f t="shared" si="0"/>
        <v>8.904</v>
      </c>
      <c r="J43" s="18" t="s">
        <v>165</v>
      </c>
      <c r="K43" s="18" t="s">
        <v>166</v>
      </c>
      <c r="L43" s="29"/>
    </row>
    <row r="44" s="1" customFormat="1" ht="102" customHeight="1" spans="1:12">
      <c r="A44" s="17">
        <v>40</v>
      </c>
      <c r="B44" s="18" t="s">
        <v>15</v>
      </c>
      <c r="C44" s="18" t="s">
        <v>167</v>
      </c>
      <c r="D44" s="18" t="s">
        <v>168</v>
      </c>
      <c r="E44" s="18" t="s">
        <v>100</v>
      </c>
      <c r="F44" s="18" t="s">
        <v>169</v>
      </c>
      <c r="G44" s="18">
        <v>220</v>
      </c>
      <c r="H44" s="19">
        <v>3838</v>
      </c>
      <c r="I44" s="20">
        <f t="shared" si="0"/>
        <v>2440.968</v>
      </c>
      <c r="J44" s="18" t="s">
        <v>170</v>
      </c>
      <c r="K44" s="18" t="s">
        <v>40</v>
      </c>
      <c r="L44" s="29"/>
    </row>
    <row r="45" s="1" customFormat="1" ht="84" customHeight="1" spans="1:12">
      <c r="A45" s="17">
        <v>41</v>
      </c>
      <c r="B45" s="18" t="s">
        <v>15</v>
      </c>
      <c r="C45" s="18" t="s">
        <v>171</v>
      </c>
      <c r="D45" s="18" t="s">
        <v>172</v>
      </c>
      <c r="E45" s="18" t="s">
        <v>51</v>
      </c>
      <c r="F45" s="18" t="s">
        <v>173</v>
      </c>
      <c r="G45" s="18">
        <v>1</v>
      </c>
      <c r="H45" s="19">
        <v>742</v>
      </c>
      <c r="I45" s="20">
        <f t="shared" si="0"/>
        <v>471.912</v>
      </c>
      <c r="J45" s="18" t="s">
        <v>174</v>
      </c>
      <c r="K45" s="18" t="s">
        <v>40</v>
      </c>
      <c r="L45" s="29"/>
    </row>
    <row r="46" s="1" customFormat="1" ht="91" customHeight="1" spans="1:12">
      <c r="A46" s="17">
        <v>42</v>
      </c>
      <c r="B46" s="18" t="s">
        <v>175</v>
      </c>
      <c r="C46" s="18" t="s">
        <v>176</v>
      </c>
      <c r="D46" s="18" t="s">
        <v>177</v>
      </c>
      <c r="E46" s="18" t="s">
        <v>28</v>
      </c>
      <c r="F46" s="18" t="s">
        <v>178</v>
      </c>
      <c r="G46" s="18">
        <v>3530</v>
      </c>
      <c r="H46" s="19">
        <v>102332</v>
      </c>
      <c r="I46" s="20">
        <f t="shared" si="0"/>
        <v>65083.152</v>
      </c>
      <c r="J46" s="37" t="s">
        <v>179</v>
      </c>
      <c r="K46" s="18" t="s">
        <v>40</v>
      </c>
      <c r="L46" s="29"/>
    </row>
    <row r="47" s="1" customFormat="1" ht="147" customHeight="1" spans="1:12">
      <c r="A47" s="17">
        <v>43</v>
      </c>
      <c r="B47" s="18" t="s">
        <v>175</v>
      </c>
      <c r="C47" s="18" t="s">
        <v>176</v>
      </c>
      <c r="D47" s="18" t="s">
        <v>180</v>
      </c>
      <c r="E47" s="18" t="s">
        <v>42</v>
      </c>
      <c r="F47" s="18" t="s">
        <v>181</v>
      </c>
      <c r="G47" s="18">
        <v>0</v>
      </c>
      <c r="H47" s="19">
        <v>0</v>
      </c>
      <c r="I47" s="20">
        <v>0</v>
      </c>
      <c r="J47" s="18" t="s">
        <v>182</v>
      </c>
      <c r="K47" s="18" t="s">
        <v>40</v>
      </c>
      <c r="L47" s="17" t="s">
        <v>183</v>
      </c>
    </row>
    <row r="48" s="1" customFormat="1" ht="84" customHeight="1" spans="1:12">
      <c r="A48" s="17">
        <v>44</v>
      </c>
      <c r="B48" s="18" t="s">
        <v>175</v>
      </c>
      <c r="C48" s="18" t="s">
        <v>176</v>
      </c>
      <c r="D48" s="18" t="s">
        <v>184</v>
      </c>
      <c r="E48" s="18" t="s">
        <v>42</v>
      </c>
      <c r="F48" s="18" t="s">
        <v>185</v>
      </c>
      <c r="G48" s="18">
        <v>0</v>
      </c>
      <c r="H48" s="19">
        <v>0</v>
      </c>
      <c r="I48" s="20">
        <v>0</v>
      </c>
      <c r="J48" s="18" t="s">
        <v>186</v>
      </c>
      <c r="K48" s="18" t="s">
        <v>40</v>
      </c>
      <c r="L48" s="17" t="s">
        <v>187</v>
      </c>
    </row>
    <row r="49" ht="71.25" customHeight="1" spans="1:12">
      <c r="A49" s="38" t="s">
        <v>188</v>
      </c>
      <c r="B49" s="39"/>
      <c r="C49" s="39"/>
      <c r="D49" s="39"/>
      <c r="E49" s="39"/>
      <c r="F49" s="39"/>
      <c r="G49" s="40"/>
      <c r="H49" s="41">
        <f>SUM(H5:H48)</f>
        <v>1273687.95</v>
      </c>
      <c r="I49" s="42">
        <f>SUM(I5:I48)</f>
        <v>810065.5362</v>
      </c>
      <c r="J49" s="43"/>
      <c r="K49" s="43"/>
      <c r="L49" s="44"/>
    </row>
    <row r="50" ht="60.6" customHeight="1" spans="1:12">
      <c r="A50" s="45" t="s">
        <v>189</v>
      </c>
      <c r="B50" s="46"/>
      <c r="C50" s="46"/>
      <c r="D50" s="46"/>
      <c r="E50" s="46"/>
      <c r="F50" s="46"/>
      <c r="G50" s="47"/>
      <c r="H50" s="48"/>
      <c r="I50" s="47"/>
      <c r="J50" s="46"/>
      <c r="K50" s="47"/>
      <c r="L50" s="45"/>
    </row>
    <row r="51" ht="308.1" customHeight="1" spans="1:12">
      <c r="A51" s="49" t="s">
        <v>190</v>
      </c>
      <c r="B51" s="50"/>
      <c r="C51" s="50"/>
      <c r="D51" s="50"/>
      <c r="E51" s="50"/>
      <c r="F51" s="50"/>
      <c r="G51" s="51"/>
      <c r="H51" s="52"/>
      <c r="I51" s="51"/>
      <c r="J51" s="50"/>
      <c r="K51" s="51"/>
      <c r="L51" s="49"/>
    </row>
    <row r="52" ht="42.6" customHeight="1" spans="1:12">
      <c r="A52" s="49" t="s">
        <v>191</v>
      </c>
      <c r="B52" s="50"/>
      <c r="C52" s="50"/>
      <c r="D52" s="50"/>
      <c r="E52" s="50"/>
      <c r="F52" s="50"/>
      <c r="G52" s="51"/>
      <c r="H52" s="52"/>
      <c r="I52" s="51"/>
      <c r="J52" s="50"/>
      <c r="K52" s="51"/>
      <c r="L52" s="49"/>
    </row>
  </sheetData>
  <mergeCells count="7">
    <mergeCell ref="A1:L1"/>
    <mergeCell ref="A2:L2"/>
    <mergeCell ref="A3:L3"/>
    <mergeCell ref="A49:G49"/>
    <mergeCell ref="A50:L50"/>
    <mergeCell ref="A51:L51"/>
    <mergeCell ref="A52:L52"/>
  </mergeCells>
  <pageMargins left="0.699305555555556" right="0.699305555555556" top="0.75" bottom="0.75" header="0.3" footer="0.3"/>
  <pageSetup paperSize="9" scale="56"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3.问题反馈表（医疗机构）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何龙</cp:lastModifiedBy>
  <dcterms:created xsi:type="dcterms:W3CDTF">2023-05-13T03:15:00Z</dcterms:created>
  <dcterms:modified xsi:type="dcterms:W3CDTF">2025-11-17T10:06:50Z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F22AEC74074E4874BAA21DDA0C320A9E_13</vt:lpwstr>
  </property>
</Properties>
</file>