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tabRatio="743" activeTab="1"/>
  </bookViews>
  <sheets>
    <sheet name="1.“定点医疗机构”问题处置表" sheetId="5" r:id="rId1"/>
    <sheet name="11.18定稿" sheetId="28" r:id="rId2"/>
  </sheets>
  <definedNames>
    <definedName name="_xlnm._FilterDatabase" localSheetId="1" hidden="1">'11.18定稿'!$A$4:$L$69</definedName>
    <definedName name="_xlnm.Print_Titles" localSheetId="1">'11.18定稿'!$4:$4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<sst xmlns="http://schemas.openxmlformats.org/spreadsheetml/2006/main" count="457" uniqueCount="311">
  <si>
    <t>附件2-1</t>
  </si>
  <si>
    <t>2025年“百日行动”省级交叉检查问题处置表（定点医疗机构）</t>
  </si>
  <si>
    <t>填报单位（盖章）：XX市（州）医保局</t>
  </si>
  <si>
    <r>
      <rPr>
        <sz val="12"/>
        <color theme="1"/>
        <rFont val="仿宋"/>
        <charset val="134"/>
      </rPr>
      <t>检查期间：</t>
    </r>
    <r>
      <rPr>
        <sz val="12"/>
        <color rgb="FFFF0000"/>
        <rFont val="仿宋"/>
        <charset val="134"/>
      </rPr>
      <t>2023年1月-2025年*月</t>
    </r>
  </si>
  <si>
    <t>金额单位：元</t>
  </si>
  <si>
    <t>统筹地区</t>
  </si>
  <si>
    <t>医疗机构名称</t>
  </si>
  <si>
    <t>“百日行动”省级交叉检查问题金额</t>
  </si>
  <si>
    <t>医保部门处理情况</t>
  </si>
  <si>
    <t>医疗机构整改情况</t>
  </si>
  <si>
    <t>备注</t>
  </si>
  <si>
    <t>问题金额</t>
  </si>
  <si>
    <t>追回</t>
  </si>
  <si>
    <t>处罚</t>
  </si>
  <si>
    <t>对医疗机构处理方式</t>
  </si>
  <si>
    <t>自查自纠金额</t>
  </si>
  <si>
    <t>处理责任科室及责任人情况</t>
  </si>
  <si>
    <t>医药机构整改措施</t>
  </si>
  <si>
    <t>其中：涉及自查自纠201项问题清单金额</t>
  </si>
  <si>
    <t>其中：涉及欺诈骗保医保基金违规金额</t>
  </si>
  <si>
    <t>追回医保基金金额</t>
  </si>
  <si>
    <t>追回金额口径及计算办法</t>
  </si>
  <si>
    <t>处罚金额</t>
  </si>
  <si>
    <t>行政处罚金额</t>
  </si>
  <si>
    <t>协议违约金处理金额</t>
  </si>
  <si>
    <t>处罚依据及分类金额</t>
  </si>
  <si>
    <t>解除医保服务协议</t>
  </si>
  <si>
    <t>暂停医保结算</t>
  </si>
  <si>
    <t>中止医保服务协议</t>
  </si>
  <si>
    <t>涉嫌欺诈骗保行为移送司法部门</t>
  </si>
  <si>
    <t>涉及医疗行业管理规范
问题移交卫生健康部门</t>
  </si>
  <si>
    <t>涉嫌腐败相关问题线索移交纪检监察部门</t>
  </si>
  <si>
    <t>公开曝光</t>
  </si>
  <si>
    <r>
      <rPr>
        <sz val="12"/>
        <color theme="1"/>
        <rFont val="楷体"/>
        <charset val="134"/>
      </rPr>
      <t>其他</t>
    </r>
    <r>
      <rPr>
        <sz val="12"/>
        <color rgb="FFFF0000"/>
        <rFont val="楷体"/>
        <charset val="134"/>
      </rPr>
      <t>（需写明处理方式）</t>
    </r>
  </si>
  <si>
    <t>其中：涉及欺诈骗保医保基金追回金额</t>
  </si>
  <si>
    <t>其中：协议处理追回金额</t>
  </si>
  <si>
    <t>其中：涉及欺诈骗保医保基金处罚金额</t>
  </si>
  <si>
    <t>合计</t>
  </si>
  <si>
    <t>基金监管分管领导：</t>
  </si>
  <si>
    <t>监管处（科、室）负责人：</t>
  </si>
  <si>
    <t>填报人：</t>
  </si>
  <si>
    <t>联系电话：</t>
  </si>
  <si>
    <t>填报日期：2025年  月   日</t>
  </si>
  <si>
    <t>说明：                                                                                                                                                                                                                                                      1.对医疗机构处理方式，包括但不限于中止、解除医保服务协议、暂停医保结算，行政处罚、协议处理，移送司法、卫健、纪检监察等部门，公开曝光等措施。                                                                                                                                                              2.如移交市场监管部门、约谈等其他对医疗机构的处理方式列入“对医疗机构处理方式的其他项内”。                                                                                                                                                                                                                                                 3.自查自纠金额为被检机构通过自查自纠方式，涉及2023年1月1日—2025年6月30日期间的医保基金所发生的已上缴违规金额（两年半的合计数），不含行政处罚金额和协议违约金处理金额。</t>
  </si>
  <si>
    <t>2025年“百日行动”省级交叉检查问题确认表（荆州石油四机医院）</t>
  </si>
  <si>
    <t>被检地：荆州市荆州区                        检查时期范围:2023年１月-2025年6月          　　　　   　　检查时间：2025年11月13日至11月15日</t>
  </si>
  <si>
    <t>被检机构名称（盖章）：荆州石油四机医院                  　　　　　　　    统一社会信用代码：524210037308652334             　　　　　医疗机构等级：二级</t>
  </si>
  <si>
    <t>序号</t>
  </si>
  <si>
    <t>问题类别       （一级指标）</t>
  </si>
  <si>
    <t>问题类别   （二级指标）</t>
  </si>
  <si>
    <t>问题项目</t>
  </si>
  <si>
    <t>违规科室</t>
  </si>
  <si>
    <t>问题情形描述</t>
  </si>
  <si>
    <t>问题
数量</t>
  </si>
  <si>
    <t>问题金额
（元）</t>
  </si>
  <si>
    <t>医保基金损失金额（元）（结算率90.66%）</t>
  </si>
  <si>
    <t>认定依据</t>
  </si>
  <si>
    <t>201条问题清单</t>
  </si>
  <si>
    <t>涉嫌欺诈骗保问题</t>
  </si>
  <si>
    <t>虚构服务</t>
  </si>
  <si>
    <t>金属骨针、螺钉</t>
  </si>
  <si>
    <t>骨科</t>
  </si>
  <si>
    <t>1、朱定华，住院号ZY20243669门诊段锁骨骨折，2025.1.22行左侧锁骨骨折切开复位内固定术，手术记录使用螺钉6枚，清单收取8枚（10元/枚），多收2枚20元；清单收取金属骨针1个1200元，影像报告上无金属骨针。
2、艾子松，住院号ZY20243597，诊断锁骨干骨折，清单收取金属骨针2个，影像报告上未看到无金属骨针。</t>
  </si>
  <si>
    <t>根据《医疗保障基金使用监督管理条例》第四十条 （三）虚构医药服务项目；</t>
  </si>
  <si>
    <t>34条</t>
  </si>
  <si>
    <t>数字化摄影（DR）（编码：210102015）</t>
  </si>
  <si>
    <t>数字化摄影（DR）曝光1次，收取2次费用。例：杨秀文 住院号 ZY20243274，数字化摄影（DR）医嘱及报告单提示胸部正侧位检查1次+足正侧位检查1次，结账清单收取了胸正位一次曝光费和足两次曝光费。到放射科现场核查，只足正侧位图像无胸部正位图像。多收65元（单价）x1次。白万权（住院号 ZY20243219）、李伦志（住院号 ZY20243658）、周家梅（住院号 ZY20209552）、罗勇（处方号4768274,就诊时间2025年3月1日）、王用霜（处方号4986511,就诊时间2025年6月30日）均存在上述问题</t>
  </si>
  <si>
    <t>根据《医疗保障基金使用监督管理条例》第四十条 （三）虚构医药服务项目；根据《荆州市医疗服务价格项目及医保支付目录》，数字化摄影（DR）（编码：210102015）计价单位：曝光一次</t>
  </si>
  <si>
    <t>该院仅可提供2024年12月至2025年6月30日期间DR影像，查看3个月DR影像，发现存在虚构服务问题。</t>
  </si>
  <si>
    <t>一般违规问题</t>
  </si>
  <si>
    <t>串换项目</t>
  </si>
  <si>
    <t>耳部射频法治疗（编码：310401049a）</t>
  </si>
  <si>
    <t>中医康复科</t>
  </si>
  <si>
    <t>使用吞咽障碍治疗仪（优德YD-8500），清单收取咽部特殊治疗（冷冻法），医保数据显示收费项目为“耳部射频法治疗”，应收吞咽功能障碍训练17元/次，多收15元/次。2023年1月1日至2025年6月30日期间，收取耳部射频法治疗9300次</t>
  </si>
  <si>
    <t>根据优德YD-8500使用说明书，该设备适用于非机械性原因导致的吞咽功能障碍的辅助治疗。</t>
  </si>
  <si>
    <t>脑电生物反馈治疗（编码：311503010）</t>
  </si>
  <si>
    <t>中医康复科、外科</t>
  </si>
  <si>
    <t>脑电生物反馈治疗为精神科治疗，该院无精神科，使用脑电仿生电刺激仪治疗，应收取低频脉冲电治疗（9元/部位），实际收取脑电生物反馈治疗费用（24元/次），多收15元/次。2023年1月1日至2025年6月30日期间，收取脑电生物反馈治疗5967次</t>
  </si>
  <si>
    <t>根据《全国医疗服务项目技术规范（2023年）》，脑电生物反馈治疗项目内涵：由经过训练的专业人员在适宜的治疗空间内，采用专用设备，通过动态实时采集人体大脑的脑电波数据， 评估个体的心理状况，给出相应反馈信号，进行放松 训练，对患者情绪、行为、认知功能、睡眠等方面进行治疗。</t>
  </si>
  <si>
    <t>层流洁净病房床位费（编码：110900002）</t>
  </si>
  <si>
    <t>手术室</t>
  </si>
  <si>
    <t>该院无层流洁净病房床，使用层流手术间收取层流洁净病房床位费。2023年1月1日至2025年6月30日期间，收取层流洁净病房床位费163次。例：荣玉芝，住院号ZY20243719，诊断：胸椎骨折，收取层流洁净病房床位费1次。</t>
  </si>
  <si>
    <t>根据《荆州市医疗服务价格项目及医保支付目录》，层流洁净病房床位费（编码：110900002）计价单位：床日 （舱）</t>
  </si>
  <si>
    <t>192条</t>
  </si>
  <si>
    <t>单次多层CT平扫（编码：210300001c）、三维重建（编码：210300001d）</t>
  </si>
  <si>
    <t>妇产科</t>
  </si>
  <si>
    <t>蒋术菊，住院号ZY20227724，住院时间2023.6.1-2023.6.17，诊断：输卵管囊肿，2023.6.1临时医嘱开具：数字DR胸部正侧位，报告为DR检查报告单胸部正侧位，清单收取单次多层CT平扫1次202元、三维重建1次43元，应收数字化摄影(DR)2次即130元，多收115元</t>
  </si>
  <si>
    <t>根据《荆州市基本医疗保障定点医疗机构服务协议》第三十六条乙方应当按规定为参保人员建立病历,并妥善保存备查。诊疗记录应当真实、完整、清晰，化验检查须有结果分析。住院病历医嘱、病程记录、检查结果、诊断、治疗记录和票据、结算清单等相吻合，并与实际使用情况相符合。</t>
  </si>
  <si>
    <t>重复收费</t>
  </si>
  <si>
    <t>穴位贴敷治疗（编码：430000023）</t>
  </si>
  <si>
    <t>骨科使用创伤疼痛快速愈合敷贴仪，该设备核心功能是直流电刺激治疗，2023年1月1日至2024年9月30日，使用该仪器治疗，收取直流电治疗、穴位贴敷治疗，穴位贴敷治疗属重复收费。2023年1月1日至2024年9月30日期间，同时收取直流电治疗、穴位贴敷治疗，穴位贴敷治疗属重复收费，涉及23532次</t>
  </si>
  <si>
    <t>根据《创伤疼痛快速愈合敷贴仪操作说明书》产品介绍：通过直流电的电刺激部分是这一技术核心组成部分，而贴敷是我公司首创的将敷贴理论与现代电子治疗技术有机结合在一起的产物</t>
  </si>
  <si>
    <t>剖腹探查术（编码：331008008b）</t>
  </si>
  <si>
    <t>外科、妇产科</t>
  </si>
  <si>
    <t>该院患者行腹腔手术同时，收取腹腔引流术（医院对应医保项目为剖腹探查术）。2023年1月1日至2025年6月30日期间，收取剖腹探查术，涉及78.5次。例：邓媛媛，住院号ZY20238773，诊断：胆总管结石伴急性化脓性梗阻性胆管炎，2023年9月26日行手术：腹腔镜下胆囊切除术+腹腔镜下胆总切开取出术+腹腔镜下胆总切开取出术+腹腔镜下T管引流术+胆道镜检+钬激光碎石术+腹腔冲洗引流术+肠粘连松解术，收取腹腔引流术0.6*875=525元，属重复收费。</t>
  </si>
  <si>
    <t>根据《全国医疗服务项目技术规范（2023年）》，腹腔手术含冲洗腹腔</t>
  </si>
  <si>
    <t>简单充填术（编码：310511001）/复杂充填术（编码：310511002）</t>
  </si>
  <si>
    <t>口腔科</t>
  </si>
  <si>
    <t>开展牙体缺损粘接修复术，重复收取复杂充填术或简单充填术费用。2023年1月1日至2025年6月30日期间，同一患者同一天同时收取牙体缺损粘接修复术、简单充填术/复杂充填术，单充填术/复杂充填术属重复收费，涉及1839次。例：王学芝，处方编号：3340361。</t>
  </si>
  <si>
    <t>根据《荆州市医疗服务价格项目及医保支付目录》，牙体缺损粘接修复术（编码：310511004）项目内涵：含牙体预备、酸蚀、粘接、充填</t>
  </si>
  <si>
    <t>血清游离钙测定（编码：250304014）</t>
  </si>
  <si>
    <t>内科、老年病科、全科医疗科、妇产科、外科、骨科</t>
  </si>
  <si>
    <t>该院使用的是离子选择电极分析仪，同时收取钙测定和离子钙测定。2023年1月1日至2025年6月30日期间，同一患者同时收取钙测定离子选择电极法、血清游离钙测定，血清游离钙测定属重复收费，涉及11188次。
例：郑先兰，住院号ZY20254515。</t>
  </si>
  <si>
    <t>根据《全国临床检验操作规程》第四版，钙测定和离子钙测定临床意义相近，任选其一即可</t>
  </si>
  <si>
    <t>开髓引流术（编码：310511013）</t>
  </si>
  <si>
    <t>开展牙髓失活术，重复收取开髓引流术费用。2023年1月1日至2025年6月30日期间，同一患者同时收取牙髓失活术、开髓引流术，开髓引流术属重复收费，涉及1615次。
例：马钟珩，处方编号4210507。</t>
  </si>
  <si>
    <t>根据《荆州市医疗服务价格项目及医保支付目录》，牙髓失活术（编码：310511012）项目内涵：含麻醉、开髓、备洞、封药。开髓引流术（编码：310511013）项目内涵：含麻醉、开髓。</t>
  </si>
  <si>
    <t>牙髓摘除术（编码：310511015）</t>
  </si>
  <si>
    <t>口腔</t>
  </si>
  <si>
    <t>收取牙髓失活术，同时又牙髓摘除术费用，牙髓摘除术属重复收费。2023年1月1日至2025年6月30日期间，涉及2103次</t>
  </si>
  <si>
    <t>根据《全国医疗服务技术规范（2023）》，牙髓失活术指对感染牙髓进行失活处理。诊室内，局部麻醉下涡 轮机去净龋坏组织，打开髓腔，提拉暴露牙髓组织， 放置牙髓失活剂，暂封开髓孔。牙髓摘除术指去除感染牙髓治疗。在诊室内局部麻醉下龋，备洞，开髓，揭髓顶，使用拔髓针及根管锉清理牙髓，冲洗根管。</t>
  </si>
  <si>
    <t>简单充填术（编码：310511001）</t>
  </si>
  <si>
    <t>收取复杂充填术同时，又收取简单充填术费用。2023年1月1日至2025年6月30日期间，同一患者同一天同时收取复杂充填术、简单充填术，简单充填术属重复收费，涉及765次(已去重牙体缺损粘接修复术重复收取简单充填术中的数据）。
例：黄天亮，处方编号4613193。</t>
  </si>
  <si>
    <t>根据《荆州市医疗服务价格项目及医保支付目录》，简单充填术（编码：310511001）项目内涵：含备洞、垫底、洞型设计、国产充填材料；包括I、V类洞的充填。
复杂充填术（编码：310511002）项目内涵：含龋齿的特殊检查(如检知液、光纤透照仪等)、备洞、垫底、洞形设计和充填；包括II、III、Ⅳ类洞及大面积缺损的充填、化学微创祛龋术</t>
  </si>
  <si>
    <t>彩色打印照片（编码：220800002）</t>
  </si>
  <si>
    <t>内镜室、内科、全科医疗科、妇产科、老年病科、外科、中医康复科、骨科</t>
  </si>
  <si>
    <t>医院将镜检检查出具的报告，按照“彩色打印照片”收取费用，属于重复收费。2023年1月1日至2025年6月30日期间，该院收取彩色打印照片数量为2095.6次</t>
  </si>
  <si>
    <t>根据《荆州市医疗服务价格项目及医保支付目录》，彩色打印照片（编码：220800002），属于超声检查分类下的图象记录附加收费项目</t>
  </si>
  <si>
    <t>109条</t>
  </si>
  <si>
    <t>183-贴片</t>
  </si>
  <si>
    <t>手术室、内镜室、内科、外科、老年病科、骨科、妇产科、中医康复科</t>
  </si>
  <si>
    <t>该院患者行心电图检查时，收取心电电极（医保项目名称：183-贴片）费用。2023年1月1日至2025年6月30日期间，收取183-贴片（单价0.9元），涉及7514次。
例：杨运付，住院号ZY20227165,行常规十二通道心电图检查，同时收取心电电极费用5*0.9=4.5元。</t>
  </si>
  <si>
    <t>根据《荆州市医疗服务价格项目及医保支付目录》，31临床各系统诊疗说明：3.诊疗中所需的特殊医用消耗材料（如特殊穿刺针(器)、消融电极、特殊导丝、导管、支架、球囊、特殊缝线、特殊缝针、钛夹、扩张器等）、药品、化学粒子均为除外内容。凡在项目内涵中已含的不再单独收费。</t>
  </si>
  <si>
    <t>膝关节清理术（编码：331506020）、敷料</t>
  </si>
  <si>
    <t>李秀珍，住院号ZY20242886  诊断：原发性单侧膝关节病，人工膝关节表面置换术同时收取膝关节清理术，940*0.5=470，伤口长度为16cm，使用两块20*10cm高分子微孔敷料2张，多收取20*10cm敷料一张520元</t>
  </si>
  <si>
    <t>根据《全国医疗服务项目技术规范（2023年）》，膝关节髌骨表面置换术，项目内涵：麻醉，消毒铺巾，逐层切开显露关节，处理股骨远端 和髌骨关节面，清理周围滑膜及病变组织，按假体设 计完成截骨，安装假体试模测试髌股关节轨迹，仔细 冲洗后用骨水泥安装最终假体，充分止血，冲洗关节腔，放置引流，加压包扎。</t>
  </si>
  <si>
    <t>乳腺肿物切除术（编码：331601002）</t>
  </si>
  <si>
    <t>外科</t>
  </si>
  <si>
    <t>肖德葵，2023-10-18至2023-11-08住院期间，开展乳腺癌根治术，乳腺癌扩大根治术，重复收取乳腺肿物切除术和(或)单纯乳房切除术费用。</t>
  </si>
  <si>
    <t>根据《全国医疗服务项目技术规范（2023年）》，乳腺癌根治性切除术项目内涵：切口设计，麻醉，大梭形切口切开皮肤，皮瓣游离，全部乳房及胸肌切除，清扫腋窝淋结，保护神经血管，能量设备止血，置管引出固定，缝合切口。</t>
  </si>
  <si>
    <t>骨密度测定（单能法）（编码：230200055）</t>
  </si>
  <si>
    <t>老年病科、内科</t>
  </si>
  <si>
    <t>1、袁庆兰，2024年11月13日检查申请单项目：超声骨密度测定1次，清单重复收取骨密度测定2次126元；
2、林晓庆，2024年11月13日检查申请单项目：超声骨密度测定1次，清单重复收取骨密度测定2次126元</t>
  </si>
  <si>
    <t>根据《荆州市医疗服务价格项目及医保支付目录》，骨密度测定（单能法）（编码：230200055）计价单位：次</t>
  </si>
  <si>
    <t>超标准收费</t>
  </si>
  <si>
    <t>指脉氧监测（编码：310701027）</t>
  </si>
  <si>
    <t>内科、外科、中医康复科、骨科、妇产科</t>
  </si>
  <si>
    <t>根据《荆州市医疗服务价格项目及医保支付目录》，指脉氧监测计价单位为：小时。该院使用指夹式脉搏血氧仪，按“次数”检测，收取指脉氧监测（按小时）费用。2023年1月1日至2025年6月30日期间，排除老年病科、康复科，收取指脉氧监测36036次</t>
  </si>
  <si>
    <t>根据《荆州市医疗服务价格项目及医保支付目录》，指脉氧监测（编码：310701027）计价单位：小时。</t>
  </si>
  <si>
    <t>使用心电或呼吸门控设备（编码：210300001e）</t>
  </si>
  <si>
    <t>内科、外科、老年病科、中医康复科、全科医疗科、骨科、妇产科</t>
  </si>
  <si>
    <t>该院CT设备无心电或呼吸门控设备，收取“使用心电或呼吸门控设备”费用。2023年1月1日至2025年6月30日期间，收取使用心电或呼吸门控设备2994次</t>
  </si>
  <si>
    <t>根据《荆州市医疗服务价格项目及医保支付目录》，使用心电或呼吸门控设备（编码：210300001e）为X线计算机体层(CT)平扫下收费项目</t>
  </si>
  <si>
    <t>阻生牙拔除术（编码：330604006）</t>
  </si>
  <si>
    <t>一个人阻生牙最多4颗，阻生牙拔除术计价单位为：每牙，该院未按该标准收费，同一患者在该院行阻生牙拔除术超过4次，超过4次部分，涉及超标准收费。2023年1月1日至2025年6月30日期间，该院为同一患者行阻生牙拔除术大于4次，超过4次部分，涉及73次。例：陈勇，2023.1.1-2025.6.30在该院收取阻生牙拔除术14次。</t>
  </si>
  <si>
    <t>根据《口腔颌面外科学》，第三磨牙是阻生牙中最常见的类型。人类正常恒牙列中第三磨牙（智齿）共 4颗，分别位于上下颌两侧末端。
根据《荆州市医疗服务价格项目及医保支付目录》，阻生牙拔除术（编码：330604006）计价单位：每牙</t>
  </si>
  <si>
    <t>彩色多普勒超声常规检查（编码：220301001）</t>
  </si>
  <si>
    <t>妇产科、骨科、老年病科、内科、外科、中医康复科</t>
  </si>
  <si>
    <t>同一患者同时行两个及以上部位彩色多普勒超声常规检查，均按全价收取。2023年1月1日至2025年6月30日期间，同一患者同时间收取彩色多普勒超声常规检查大于1次，涉及238人次，多收数量242.7次。
例：杨宏梅，住院号ZY202111368，诊断：子宫平滑肌瘤、窦性心律失常，2023.3.4医嘱同时开具泌尿系彩超、肝胆脾胰彩超，均按全价收取费用。</t>
  </si>
  <si>
    <t>根据《荆州市医疗服务价格项目及医保支付目录》，彩色多普勒超声常规检查（编码：220301001）⑧每增加一个部位检查按第一个部位的50%收费；</t>
  </si>
  <si>
    <t>106条</t>
  </si>
  <si>
    <t>1、核减2024年医院自查自纠已退款问题金额807.5元；
2、核减2022年-2023年自查自纠问题金额3825元</t>
  </si>
  <si>
    <t>局部浸润麻醉（编码：330100001）</t>
  </si>
  <si>
    <t>外科、骨科</t>
  </si>
  <si>
    <t>该院局部浸润麻醉未按次收费，一台手术收取多次局部浸润麻醉费用。2023年1月1日至2025年6月30日期间，同一患者单日收取局部浸润麻醉1次以上的，涉及95人次，多收138.8次</t>
  </si>
  <si>
    <t>根据《荆州市医疗服务价格项目及医保支付目录》，局部浸润麻醉，计价单位：次。
33手术总说明： 1).经同一切口进行的两种不同疾病的手术，其中另一手术按50%收取； 2).经两个切口的两种不同疾病的手术，按手术标准分别计价；3).同一手术项目中两个以上切口的手术，按20%加收；4).双侧器官同时实行的手术，在相应单侧手术收费基础上加收80%。
   以上四种情况，麻醉费不再另外加收。</t>
  </si>
  <si>
    <t>C型臂术中透视（编码：210101004）</t>
  </si>
  <si>
    <t>C型臂术中透视，未按照检验项目计价单位收费，多次收费。C型臂术中透视(210101004)计价单位为“半小时”，按C型臂术中透视操作时长计算，一次手术期间收取C型臂术中透视数量超过2次共计87次</t>
  </si>
  <si>
    <t>根据《荆州市医疗服务价格项目及医保支付目录》，C型臂术中透视（编码：210101004）计价单位：半小时。</t>
  </si>
  <si>
    <t>59条</t>
  </si>
  <si>
    <t>核减当地医保2024年已处理问题金额2695元</t>
  </si>
  <si>
    <t>中清创缝合（编码：120500002）</t>
  </si>
  <si>
    <t>开展阻生牙拔除术，10针以下，应收小清创缝合（51元/次），实际收取中清创缝合（100元/次），多收49元/次。2023年1月1日至2025年6月30日期间，同一患者同一天收取阻生牙拔除术、中清创缝合，中清创缝合超标准收费涉及70次。
例：潘世明，门诊号201700012428,2024年10月15日行阻生牙拔除术（3颗牙），收取中清创缝合3次300元，应收小清创缝合，多收147元。</t>
  </si>
  <si>
    <t>根据《荆州市医疗服务价格项目及医保支付目录》，中清创缝合（编码：120500002）指10-19针，小清创缝合（编码：120500003）指10针以下</t>
  </si>
  <si>
    <t>麻醉中监测（三项以上每增加一项加收）（编码：330100015）</t>
  </si>
  <si>
    <t>1、孙同福，住院号ZY20209340，诊断：急性化脓性阑尾炎伴腹膜炎，2025年6月9日麻醉中监测记录单记录11项监测指标，麻醉总时间2h30min,应收取“麻醉中监测（三项以上每增加一项加收）”8*3=24次，实际收取27次，多收3次9元；
2、石永涛，住院号ZY20242944，住院时间2024.11.11-2024.11.16，诊断掌跖疣，2024年11月13日行足踝部肿物切除术，麻醉记录单显示麻醉总时间1h30min，麻醉中监测8项指标，清单收取“麻醉中监测”8次360元，应收麻醉中监测2次90元，“麻醉中监测 三项以上每增加一项加收3元”10次30元，多收240元</t>
  </si>
  <si>
    <t>根据《荆州市医疗服务价格项目及医保支付目录》，麻醉中监测（编码：330100015），三项以上每增加一项加收3元</t>
  </si>
  <si>
    <t>违反诊疗规范过度诊疗</t>
  </si>
  <si>
    <t>三维重建（编码：210300001d）</t>
  </si>
  <si>
    <t>妇产科、公共卫生科、口腔科、老年病科、全科医疗科、外科、中医康复科</t>
  </si>
  <si>
    <t>为无指征患者同时做CT+三维重建。2023年1月1日至2025年6月30日期间，排除诊断含“骨折、积水、输尿管、肺结节、肿瘤、包块、胸水、腹水、梗阻、吞咽困难、胸痛、不张、结核、空洞、囊肿、脓肿”，收取三维重建，涉及5515次。例：杨开秀，住院号ZY20242450，诊断：慢性阻塞性肺疾病伴急性下呼吸道感染、焦虑型抑郁症、高血压3级、脑梗死后遗症，2025.5.21医嘱开具胸部CT+三维重建。</t>
  </si>
  <si>
    <t>根据《医学影像学》第八版，“对于骨盆、颅颌面等解剖复杂部位的粉碎性骨折，CT 三维重建可清晰显示骨折线走向、碎骨块移位情况，为骨折复位固定手术方案的制定提供直观依据，同时可用于术后评估内固定物位置及骨折愈合状态。”“针对鹿角形肾结石、复杂输尿管结石，CT 泌尿系造影结合三维重建能立体呈现结石大小、形态及其与肾盂、肾盏的空间关系，是经皮肾镜等微创手术术前定位和路径规划的重要手段。”“冠状动脉 CTA 三维重建可直观展示冠脉血管形态，精准测量狭窄程度，明确动脉瘤、血管畸形的位置及与分支血管的关联，为支架植入、畸形矫正等介入或外科手术提供术前评估依据。”</t>
  </si>
  <si>
    <t>小针刀治疗（编码：470000005）</t>
  </si>
  <si>
    <t>中医康复科、内科、外科、骨科</t>
  </si>
  <si>
    <t>通常单次操作1-3个主要病变部位，该院患者单日小针刀治疗4个部位以上，2023年1月1日至2025年6月30日期间，单日收取4个部位以上的，超过4次部分，属过度诊疗，涉及4436次</t>
  </si>
  <si>
    <t>根据《针刀医学临床·通用要求》（T/CACM1063 - 2018）即使存在多处病变，单次治疗也不会同时操作过多部位（通常单次操作1-3个主要病变部位）。过多部位同时治疗会增加局部创伤和术后反应风险，也不利于医生集中精力保证每个部位的操作精准度。若需治疗多部位，通常会分多次进行，优先处理症状最严重的部位。</t>
  </si>
  <si>
    <t>血清胱抑素(Cystatin C)测定（编码：250307028）</t>
  </si>
  <si>
    <t>内科、外科、老年病科、骨科、妇产科、中医康复科</t>
  </si>
  <si>
    <t>无肾脏疾病，开展尿素、肌酐的同时开具胱抑素。2023年1月1日至2025年6月30日期间，同一住院患者同一天收取尿素测定同时又收取血清胱抑素测定，年龄60岁以下，排除诊断含““肾”“肿瘤”“癌”“肉瘤”“CA”“糖尿病”“高血压”“尿”“脓毒”“妊娠”“孕”“脓毒”“化疗”“放疗”“术”“代谢”“过敏”“电解质”“低/高钾”“低/高钠”“低/高氯”“骨折”，收取血清胱抑素测定，涉及2419次。
例：屈宜香，住院号202320238901，诊断急性肠胃炎，无肾脏相关疾病，开展血清胱抑素测定，结果正常。</t>
  </si>
  <si>
    <t>根据《全国临床检验操作规程》第四版，血清胱抑素测定主要用于肾小球滤过功能损伤、糖尿病肾病、高血压肾病以及其他肾小球早期损伤的诊断及预后判断。</t>
  </si>
  <si>
    <t>125条</t>
  </si>
  <si>
    <t>尿沉渣定量（编码：250102024）</t>
  </si>
  <si>
    <t>将尿沉渣镜检、尿沉渣定量等项目打包在尿液分析中作为常规检查，为非泌尿系疾病患者开展尿沉渣定量。2023年1月1日至2025年6月30日期间，排除诊断含“尿”“前列腺”“低蛋白”“膀胱”“肾”“糖尿病”，同一患者同时收取尿液分析、尿沉渣定量，尿沉渣定量属过度检查，涉及6475次。
例：周淑懿，住院号ZY20242462，诊断：不完全性肠梗阻、心房颤动【心房纤颤】、老年痴呆，医嘱开尿液检查，同时查尿液分析、尿沉渣定量。</t>
  </si>
  <si>
    <t>根据《全国临床检验操作规程》第四版，当自动化尿液分析(包括尿干化学分析和尿液有形成分分析)结果异常时,需要做手工法尿沉渣显微镜检查复核。当自动化尿液分析结果阴性时,结合临床实际可不做显微镜复检。如使用自动化尿液有形成分分析仪筛检尿液有形成分时,实验室应:
1.制定尿液有形成分分析的显微镜复检标准以实验室自定义(结合临床医师要求;临床特定疾病,如泌尿道疾病、肾病、糖尿病、应用免疫抑制剂
等;理学和化学检查结果异常等情况)和尿液有形成分分析仪固有提示的异常为依据制定复检标准。</t>
  </si>
  <si>
    <t>核减当地医保已处理问题金额5707.25元</t>
  </si>
  <si>
    <t>肌红蛋白测定（编码：250306010）</t>
  </si>
  <si>
    <t>无指征开展肌红蛋白测定。2023年1月1日至2025年6月30日期间，排除诊断含“心”“肾”“肌”“胸”“肺”“冠”“骨”“咽痛”“糖尿病”“上腹痛”，收取肌红蛋白测定，涉及665次</t>
  </si>
  <si>
    <t>根据《全国临床检验操作规程》第四版，肌红蛋白测定可以反映心肌、骨骼肌损伤和肾功能等疾病的进展情况、</t>
  </si>
  <si>
    <t>124条</t>
  </si>
  <si>
    <t>电子生物反馈疗法（编码：340100018）</t>
  </si>
  <si>
    <t>中医康复科、妇产科</t>
  </si>
  <si>
    <t>该院为肿瘤、癫痫、孕妇行电子生物反馈疗法。2023年1月1日至2025年6月30日期间，诊断含“肿瘤、癫痫、孕”，排除诊断含“避孕”，收取电子生物反馈疗法2588次。
例：班磊，住院号ZY20227962,诊断：松弛性偏瘫、脑出血后遗症、高血压3级、症状性癫痫、结膜炎、便秘，行电子生物反馈疗法。</t>
  </si>
  <si>
    <t>根据电子生物反馈治疗使用说明书，禁忌证：严重认知障碍患者，恶性肿瘤患者、癫痫患者、孕妇、植入式电子装置（例如心脏起搏器）等</t>
  </si>
  <si>
    <t>血清载脂蛋白AⅠ测定（编码：250303007）、血清载脂蛋白B测定（编码：250303009）、血清载脂蛋白α测定（编码：250303013）</t>
  </si>
  <si>
    <t>无指征开展血清载脂蛋白测定。2023年1月1日至2025年6月30日期间，排除60岁以上患者，排除诊断“高脂血症”“高血压”“糖尿病”“肝”“胆”“胰”“代谢”“心”“脑”“血管”“出血”“动脉”“肾病综合征”，同一患者同时收取血清总胆固醇测定、血清载脂蛋白测定，涉及3951次</t>
  </si>
  <si>
    <t>根据《全国临床检验操作规程》第四版，血清载脂蛋白AI可反映体内脂蛋白的情况，对心脑血管疾病、肝胆胰疾病、肾脏疾病、高脂血症、糖尿病、代谢综合征、甲状腺功能疾病、恶性肿瘤等相关疾病具有辅助诊断意义。血清载脂蛋白B用于反映体内脂蛋白情况，对心脑血管疾病、肝胆胰疾病、肾脏疾病、高脂血症、糖尿病、代谢综合征、甲状腺功能疾病、恶性肿瘤等相关疾病具有辅助诊断意义。血清载脂蛋白α高Lp(a)与冠心病发病倾向相关</t>
  </si>
  <si>
    <t>核减当地医保已处理问题金额22569.2元</t>
  </si>
  <si>
    <t>B型钠尿肽前体（PRO-BNP）测定（编码：250306013）</t>
  </si>
  <si>
    <t>无指征开展B型钠尿肽前体测定。2023年1月1日至2025年6月30日期间，排除诊断含“心”“肾”“高血压”“呼吸”“哮喘”“肺”“冠”“胸”“水肿”“咽痛”“糖尿病”“上腹痛”，收取B型钠尿肽前体（PRO-BNP）测定，涉及441次</t>
  </si>
  <si>
    <t>根据《全国临床检验操作规程》第四版 ，B型钠尿肽定量（BNP)、B型钠尿肽前体（proBNP）一般用于心衰诊断、危险分级、疗效监测和预后评估，常适用于心血管疾病、肺部疾病、其他肾病、肺病等疾病。</t>
  </si>
  <si>
    <t>129条</t>
  </si>
  <si>
    <t>血清肌钙蛋白Ⅰ测定（编码：250306009）</t>
  </si>
  <si>
    <t>无指征开展血清肌钙蛋白Ⅰ测定。2023年1月1日至2025年6月30日期间，排除诊断含“心、高血压、主动脉、动脉、肾衰、甲状腺、毒、卒中、梗死、出血、肌、衰竭、淀粉样、血色病、结节病、硬皮病、咽痛、糖尿病、上腹痛”，行该项检查，涉及610次。
例：罗德华，住院号20243743，诊断：糜烂性胃炎，无指征开展血清肌钙蛋白Ⅰ测定。</t>
  </si>
  <si>
    <t>根据《全国临床检验操作规程》第四版,cTn对心肌损伤具有很高的敏感性和特异性,急性冠状动脉综合征（ACS)诊断的首选心肌损伤标志物。ACShs-cTn升高的心源性病因有:稳定型心绞痛、急性和重度慢性心力衰竭、高血压危象、快速或缓慢性心律失常、心脏挫伤、心脏消融、起搏、心脏电复律、心内膜活检、心肌炎等疾病;主动脉夹层、主动脉瓣膜疾病、肥厚性心肌病、心尖球形综合征、肺动脉栓塞和重度肺动脉高压。非ACS hs-cTn升高的非心源性病因有:急性和慢性肾衰竭、急性神经系统病变(包括卒中或蛛网膜下腔出血)、甲状腺功能减退、浸润性疾病(如淀粉样变性、血色病、结节病、硬皮病)、药物毒性(如阿霉素、氟尿嘧啶、曲妥珠单抗、蛇毒)、烧伤&gt;30%体表面积、横纹肌溶解和严重疾病患者(呼吸衰竭、脓毒症等)。</t>
  </si>
  <si>
    <t>视黄醇结合蛋白测定（编码：250301018）</t>
  </si>
  <si>
    <t>为无相应病症患者开展尿素、肌酐的同时开具视黄醇结合蛋白，视黄醇结合蛋测定属过度诊疗。2023年1月1日至2025年6月30日期间，排除60岁以上患者，排除诊断含“肾”“肿瘤”“癌”“肉瘤”“CA”“糖尿病”“高血压”“尿”“脓毒”“妊娠”“孕”“脓毒”“化疗”“放疗”“术”“代谢”“过敏”“电解质”“低/高钾”“低/高钠”“低/高氯”“骨折”，同一患者同时收取尿素测定、视黄醇结合蛋白测定，视黄醇结合蛋白测定属过度诊疗，涉及2596次。
例：屈宜香，住院号202320238901，诊断急性肠胃炎，无指征开展视黄醇结合蛋白测定。</t>
  </si>
  <si>
    <t>根据《全国临床检验操作规程》第四版，1.血清RBP升高 多见于各种原因所致肾小球滤过功能损伤,也见于过量摄入维生素A、营养过剩性脂肪肝等。在判断肾小球滤过功能损伤上,血清RBP与胱抑素C的诊断性能相当。由于血清胱抑素C的广泛应用,加之RBP的上述肾排泄特点,目前更常检测尿RBP浓度作为诊断近端肾小管损伤标志(参阅本章第二十三节尿视黄醇结合蛋白测定)。
2.血清RBP降低 维生素A缺乏症、低蛋白血症、肝病、甲状旁腺功能亢进、吸收不良综合征等,可出现血中RBP降低。</t>
  </si>
  <si>
    <t>核减当地医保已处理问题金额10033.20元</t>
  </si>
  <si>
    <t>β2微球蛋白测定 各种免疫学方法（编码：250301014、250307009）</t>
  </si>
  <si>
    <t>开展尿素、肌酐的同时开具β2微球蛋白。2023年1月1日至2025年6月30日期间，排除60岁以上患者、排除诊断“肾”“肿瘤”“癌”“肉瘤”“CA”“糖尿病”“高血压”“尿”“脓毒”“妊娠”“孕”“脓毒”“化疗”“放疗”“术”“代谢”“过敏”“电解质”“低/高钾”“低/高钠”“低/高氯”“骨折”“透析”“淀粉”“狼疮”“风湿”“综合征”“骨髓”“白血病”“狼疮”“低蛋白”“移植”“痛风”“尿酸”，收取β2微球蛋白测定，涉及3623次。
例：余兆珍，住院号ZY20241066，诊断：混合痔、甲状腺功能亢进史，无指征行β2微球蛋白测定。</t>
  </si>
  <si>
    <t>根据《全国临床检验操作规程》第四版，血B2-MG是反映肾小球滤过功能的灵敏指标,是淋巴细胞增殖性疾病的主要标志物。可用于评估自身免疫性疾病的活动程度,并可作为观察药物疗效的指标。尿B2-MG是诊断近曲小管损害敏感而特异的方法，有助于鉴别肾小球或肾小管病变，用于鉴别尿路感染,糖尿病、高血压患者肾功能损害程度，恶性肿瘤、自身免疫性疾病肾损害，肾移植患者机体发生排斥反应。</t>
  </si>
  <si>
    <t>142条</t>
  </si>
  <si>
    <t>糖类抗原测定 化学发光法（编码：250404011）</t>
  </si>
  <si>
    <t>内科、外科、老年病科、中医康复科、骨科、妇产科</t>
  </si>
  <si>
    <t>将糖类抗原作为常规检查，对无相关疾病指征的患者开展检验并收费。2023年1月1日至2025年6月30日期间，排除诊断“瘤”“转移”“黄疸”“包块”“结节”“积液”“梗阻”“胸水”“腹水”“息肉”“出血”“胰”“血尿”“消化”，收取糖类抗原测定799次</t>
  </si>
  <si>
    <t>根据《全国临床检验操作规程》第四版，癌胚抗原、糖类抗原系肿瘤标志物，不同抗原对不同类型肿瘤具有辅助诊断意义</t>
  </si>
  <si>
    <t>137条</t>
  </si>
  <si>
    <t>血浆D-二聚体测定（编码：250203066）</t>
  </si>
  <si>
    <t>对无指征患者普遍开展血浆D-二聚体测定。2023年1月1日至2025年6月30日期间，排除诊断“肺栓塞”“血栓”“凝血”“心肌梗死”“脑卒中”“脑梗死”“胸痛”“骨折”“冠心病”“肿瘤”“冠状动脉粥样硬化”“癌”“肉瘤”“心衰”“脓毒”“房颤”“肝衰竭”“重症肝炎”“中风”“慢性阻塞性”“癫痫”“肝硬化”“重症肝炎”“心”“脑”“关节”“动脉”“栓塞”“肝”“血管”“静脉”“冠脉”“脓毒”，行该项检查，涉及968次。
例：余兆珍，住院号ZY20241066，诊断：混合痔、甲状腺功能亢进史，无指征行血浆D-二聚体测定。</t>
  </si>
  <si>
    <t>根据《全国临床检验操作规程》第四版,血浆D-二聚体测定反映患者凝血功能情况，一般用于血栓风险评估中高危患者，弥漫性血管内凝血、深静脉血栓、心脑血管疾病、肝脏疾病、恶性肿瘤、手术、溶栓治疗等指征监测。</t>
  </si>
  <si>
    <t>120条</t>
  </si>
  <si>
    <t>核减当地医保已处理问题金额15087.6元</t>
  </si>
  <si>
    <t>不加热血清反应素试验（编码：250403055）</t>
  </si>
  <si>
    <t>未按照诊疗规范先检测梅毒螺旋体特异抗体测定，确定为阳性后再进行快速血浆反应素试验(RPR)检测，同时开具检测。2023年1月1日至2025年6月30日期间，排除诊断含“梅毒”，同一患者同时收取不加热血清反应素试验、梅毒螺旋体特异抗体测定，涉及3649次。
例：黄古庆，住院号ZY20227900,诊断：掌指关节半脱位、手指开放性损伤、高血压病1级，医嘱同时开具梅毒螺旋体特异抗体测定、不加热血清反应素试验。</t>
  </si>
  <si>
    <t>根据《全国临床检验操作规程》第四版,先检测梅毒螺旋体特异抗体测定，确定为阳性后再进行快速血浆反应素试验(RPR)检测</t>
  </si>
  <si>
    <t>131条</t>
  </si>
  <si>
    <t>核减医院2023-2024年自查自纠退款金额2240元</t>
  </si>
  <si>
    <t>护架烤灯（编码：311400047）</t>
  </si>
  <si>
    <t>骨科、外科</t>
  </si>
  <si>
    <t>护架烤灯单日收取1次以上，超过1次部分属过度诊疗。2023年1月1日至2025年6月30日期间，同一患者单日收取护架烤灯1次以上的，超过1次部分属过度诊疗，涉及4616.5次。
例：陈贵林，住院号ZY20240262，诊断：手指开放性损伤，长期医嘱开具：持续红外线烤灯治疗，每日收取护架烤灯24次。</t>
  </si>
  <si>
    <t>根据《全国医疗服务项目技术规范（2023年）》，护架烤灯照射，基本人力消耗及耗时：护1，平均耗时30分钟</t>
  </si>
  <si>
    <t>血同型半胱氨酸测定（编码：250306011）</t>
  </si>
  <si>
    <t>内科、老年病科、全科医疗科、妇产科</t>
  </si>
  <si>
    <t>无指征开展血同型半胱氨酸测定，属过度诊疗。2023年1月1日至2025年6月30日期间，排除诊断含"瘫、梗、卒中、高、风、痛、疼、痴、记忆力、不良、栓、塞、脉、血、尿"，收取血同型半胱氨酸测定，涉及179次。
例：刘光玲，住院号ZY20254839，诊断：横结肠息肉、胃息肉、直肠息肉、慢性结肠炎、糜烂性胃炎、胆囊息肉，无心脑肾病病史，开展血同型半胱氨酸测定。</t>
  </si>
  <si>
    <t>根据《全国临床检验操作规程》第四版，同型半胱氨酸水平升高是叶酸和维生素B,缺乏的敏感指标,同时还与动脉粥样硬化和CAD的危险性成正比,是动脉粥样硬化所致心血管疾病最广泛、最强的独立危险因素。
同型半胱氨酸水平升高会增加动脉粥样硬化、心肌梗死、脑卒中、中枢血管疾病(CVD)、外周血管疾病(PVD)、阿尔茨海默病发生的危险性,这类患者体内同型半胱氨酸水平明显高于健康人,其血浆浓度与心脑血管病的程度和并发症呈正相关。
部分慢性肾功能不全患者血浆同型半胱氨酸水平会升高,并且与血清肌酐值呈正相关,与肾小球滤过率呈显著负相关。</t>
  </si>
  <si>
    <t>鳞状细胞癌相关抗原测定(SCC) 化学发光法（编码：250404012）</t>
  </si>
  <si>
    <t>将鳞状细胞癌相关抗原测定作为常规检查，对无相关疾病指征的患者开展检验并收费。2023年1月1日至2025年6月30日期间，排除诊断含“肿瘤”“癌”“CA”“肉瘤”“占位”“肿物”“鳞”“角化”“结节”“瘤”“转移”“黄疸”“包块”“结节”，收取鳞状细胞癌相关抗原测定197次。
 例：徐永红，住院号ZY20254401，诊断：急性女性盆腔炎、急性阴道炎、取除子宫内节育器、卵巢囊肿、胆囊结石、肾结石，无指征行鳞状细胞癌相关抗原测定。</t>
  </si>
  <si>
    <t>根据《全国临床检验操作规程》第四版，鳞状上皮细胞癌抗原SCC检测常用于以宫颈鳞癌为代表的所有鳞状上皮细胞起源癌的辅助诊断和监测,特异性高。</t>
  </si>
  <si>
    <t>总前列腺特异性抗原测定(TPSA)（编码：250404005）、游离前列腺特异性抗原测定(FPSA)（编码：250404006）</t>
  </si>
  <si>
    <t>对无相关疾病指征的患者开展总前列腺特异性抗原测定并收费，属过度诊疗。 2023年1月1日至2025年6月30日期间，排除诊断含“前列腺”，收取前列腺特异性抗原测定203次。
例：郑加生，住院号ZY20225488,诊断：膀胱结石、肾结石、精神分裂症，无指征行前列腺特异性抗原测定。</t>
  </si>
  <si>
    <t>根据《全国临床检验操作规程》第四版，PSA具有较强的器官特异性,虽在前列腺肥大及前列腺炎等良性前列腺疾病有升高,但在前列腺癌的筛查、辅助诊断、疗效监测及复发预测等方面仍发挥重要作用,可用于前列腺良恶性疾病的鉴别辅助诊断。PSA升高可见于前列腺癌、前列腺肥大及前列腺炎等疾病。</t>
  </si>
  <si>
    <t>139条</t>
  </si>
  <si>
    <t>癌胚抗原测定(CEA) 化学发光法（编码：250404001）</t>
  </si>
  <si>
    <t>将癌胚抗原作为常规检查，对无相关疾病指征的患者开展检验并收费。 2023年1月1日至2025年6月30日期间，排除诊断含“瘤”“转移”“黄疸”“包块”“结节”“积液”“梗阻”“胸水”“腹水”“息肉”“出血”“胰”“血尿”“消化”，收取癌胚抗原测定249次</t>
  </si>
  <si>
    <t>甲胎蛋白测定(AFP) 化学发光法（编码：250404002）</t>
  </si>
  <si>
    <t>将甲胎蛋白测定作为常规检查，对无相关疾病指征的患者开展检验并收费。 2023年1月1日至2025年6月30日期间，排除诊断含“瘤”“转移”“黄疸”“包块”“结节”“积液”“梗阻”“胸水”“腹水”“息肉”“出血”“胰”“血尿”“消化”，收取甲胎蛋白测定249次</t>
  </si>
  <si>
    <t>根据《全国临床检验操作规程》第四版，甲胎蛋白测定主要用于原发性肝癌及其他恶性肿瘤的辅助诊断</t>
  </si>
  <si>
    <t>136条</t>
  </si>
  <si>
    <t>阴道镜检查（编码：311201004）</t>
  </si>
  <si>
    <t>该院为无相关病症患者行阴道镜检查。2023年1月1日至2025年6月30日期间，排除诊断含“宫颈、阴道、人乳头”，行阴道镜检查，涉及272次.
例：刘琳琳，住院号ZY20242650，诊断：子宫平滑肌瘤、卵巢巧克力样囊肿、女性盆腔粘连、间质性肺炎、脂肪肝、高脂血症，行阴道镜检查（单价26元，数量1）十阴道镜检查（电子阴道镜加收）（单价50元，数量1），计76元。</t>
  </si>
  <si>
    <t>根据《阴道镜应用的中国专家共识》，阴道镜检查的主要指征:
(1)异常或不确定的子宫颈癌筛查结果。(2)症状或体征提示可疑子宫颈癌、下生殖道异常出血、反复性交后出血或不明原因的阴道排液。(3)下生殖道的癌前病变治疗后的随访。</t>
  </si>
  <si>
    <t>神经元特异性烯醇化酶测定(NSE) 化学发光法（编码：250404009）</t>
  </si>
  <si>
    <t>对无相关疾病指征的患者开展神经元特异性烯醇化酶测定并收费，属过度诊疗。2023年1月1日至2025年6月30日期间，排除诊断含“肿瘤”“癌”“CA”“肉瘤”“占位”“肿物”“细胞瘤”“黑色素”，收取神经元特异性烯醇化酶测定174次</t>
  </si>
  <si>
    <t>根据《全国临床检验操作规程》第四版，NSE是SCLC和NB主要的肿瘤标志物,可作为SCLC与NSCLC的鉴别诊断指标,NSE是目前公认的SCLC高特异性和高灵敏性的肿瘤标志物。
NSE水平在嗜铬细胞瘤、胰岛细胞瘤、甲状腺髓样癌和黑色素瘤等肿瘤亦可升高。</t>
  </si>
  <si>
    <t>血栓弹力图试验（编码：250203080）</t>
  </si>
  <si>
    <t>内科、妇产科、老年病科、中医康复科</t>
  </si>
  <si>
    <t>对无相关疾病指征的患者开展血栓弹力图试验。2023年1月1日至2025年6月30日期间，排除诊断含“重症”“凝血”“血栓”“出血”“高凝”“低凝”“纤溶”“维生素”“脓毒”“创伤”“血小板”“毒”“梗死”“血友病”“白血病”“心”“脑”“肾病综合征”收取血栓弹力图试验，涉及32次。
例：周冬梅，住院号ZY20207879，诊断：胃食管反流、慢性胃炎，无相关病症开展血栓弹力图试验。</t>
  </si>
  <si>
    <t>根据《全国临床检验操作规程》第四版,血栓弹力图试验（TEG）是反映血液凝固动态变化的指标，对血管内凝血、冠心病、静脉血栓、脑梗死、肾病综合征等疾病具有辅助诊断意义。</t>
  </si>
  <si>
    <t>132条</t>
  </si>
  <si>
    <t>细胞角蛋白19片段测定(CYFRA21-1) 化学发光法（编码：250404010）</t>
  </si>
  <si>
    <t>对无相关疾病指征的患者开展总细胞角蛋白19片段测定并收费，属过度诊疗。2023年1月1日至2025年6月30日期间，排除诊断含“癌”“肿瘤”“肺”“支气管”“哮喘”“呼吸”“胸”“肝”“肾”“瘤”“转移”“黄疸”“包块”“结节”，收取细胞角蛋白19片段测定，涉及86次</t>
  </si>
  <si>
    <t>根据《全国临床检验操作规程》第四版，细胞角蛋白19片段CYFRA21-1主要用于监测非小细胞性肺癌(NSCLC)的病程。CYFRA21-1也适用于监测横纹肌浸润型膀胱癌的病程。CYFRA21-1较好的特异性可鉴别诊断肺部良性疾病(如:肺炎、结节病、结核病、慢性支气管炎、支气管哮喘、肺气肿)。CY-FRA21-1水平在个别良性肝脏疾病和肾衰竭轻微上升(小于10ng/mi)。其与性别、年龄或吸烟习惯无相关性,不受妊娠影响。</t>
  </si>
  <si>
    <t>血清α-L-岩藻糖苷酶测定（编码：250305017）</t>
  </si>
  <si>
    <t>内科、外科、老年病科、中医康复科</t>
  </si>
  <si>
    <t>无肝相关疾病开展血清α-L-岩藻糖苷酶测定2023年1月1日至2025年6月30日期间，排除诊断含“肝”，收取血清α-L-岩藻糖苷酶测定，涉及71次。
。例：李则平，住院号ZY20254234，诊断：慢性结肠炎，无肝相关病史，开展血清α-L-岩藻糖苷酶测定。</t>
  </si>
  <si>
    <t>根据《全国临床检验操作规程》第四版，原发性肝癌多见血清AFU明显升高,慢性肝炎和肝硬化也可见AFU升高。血清 AFU随妊娠周数的增加而增加,在分娩或终止妊娠后,迅速下降。</t>
  </si>
  <si>
    <t>135条</t>
  </si>
  <si>
    <t>抗生素</t>
  </si>
  <si>
    <t>黄加志，住院号：2Y20227355，诊断子宫多发性平滑肌瘤、子宫脱垂、子宫内膜息肉、阴道前壁脱垂、脂肪肝、胆囊结石、血糖升高，抗生素过度治疗 ①头孢曲松钠（单价44.14元，数量13），计573.82元②甲硝唑氯化钠注射液（单价5.4元，数量12），计64.8元③注射用克林霉素磷酸酯（单价7元，数量4），计28元。</t>
  </si>
  <si>
    <t>根据《抗菌药物临床应用指导原则（2015 年版）》，抗菌药物适用于治疗或预防敏感细菌、真菌等病原微生物引起的感染性疾病</t>
  </si>
  <si>
    <t>国卫办医发〔2015〕43 号附件抗菌药物临床应用指导原则（2015 年版）</t>
  </si>
  <si>
    <t>四肢血管彩色多普勒超声（编码：220302006）</t>
  </si>
  <si>
    <t>黄加志，住院号：2Y20227355，四肢血管彩色多普勒超声（单价111元，数量2）十四肢血管彩色多普勒超声（每增加两根加收）（单价20元，数量3） ，计282元。</t>
  </si>
  <si>
    <t>根据《超声医学》相关内容，四肢血管彩色多普勒超声适用于四肢动静脉系统疾病诊断、血管手术及介入治疗后定期检查、先天性与创伤性血管异常</t>
  </si>
  <si>
    <t>其他（超适应症药）</t>
  </si>
  <si>
    <t>注射用盐酸雷尼替丁</t>
  </si>
  <si>
    <t>老年病科、内科、外科、骨科、中医康复科、妇产科</t>
  </si>
  <si>
    <t>无相关适应症使用注射用盐酸雷尼替丁。2023年1月1日至2025年6月30日期间，排除诊断含“食管、食道、胃、肠、出血、骨折、应激、肝硬化、溃疡、病危、病重、癌、胰腺”，排除收费带“术、麻醉”，使用注射用盐酸雷尼替丁，涉及数量5424支。
例：朱昌焕，住院号ZY20254181，住院时间2025.3.26-2025.4.1，诊断：难治性高血压、2型糖尿病伴血糖控制不佳，无消化系统病症，入院当天长期医嘱开具注射用盐酸雷尼替丁。</t>
  </si>
  <si>
    <t>根据注射用盐酸雷尼替丁说明书，适应症：抑酸药。主要用于：1、消化性溃疡出血、弥漫性胃粘膜病变出血、吻合口溃疡出血、胃手术后预防再出血等。2、应急状态时并发的急性胃黏膜损害和阿司匹林引起的急性胃粘膜损伤；亦常用于预防重症疾病（如脑出血、严重创伤等）应激状态喜爱应激性溃疡大出血的发生；3、全身麻醉或大手术后以及衰弱昏迷患者防止胃酸反流合并吸入性肺炎。</t>
  </si>
  <si>
    <t>7条</t>
  </si>
  <si>
    <t>法莫替丁注射液</t>
  </si>
  <si>
    <t>妇产科、骨科、口腔科、老年病科、全科医疗科、内科、外科、中医康复科</t>
  </si>
  <si>
    <t>无相关适应症使用注法莫替丁注射液。2023年1月1日至2025年6月30日期间，排除诊断“食管、食道、胃、肠、出血、骨折、应激、肝硬化、溃疡、病危、病重、癌、胰腺”，排除收费带“术、麻醉”，使用法莫替丁注射液，涉及4290支。
例：慕建芳，住院号ZY20182573，诊断：高血压3级、脑供血不足、甲状腺结节、高甘油三酯血症、颈动脉硬化、腔隙性脑梗死，无指征使用法莫替丁注射液。</t>
  </si>
  <si>
    <t>根据药品说明书，法莫替丁注射液适应症：主要用于：1、消化性溃疡出血；2、应激状态时并发的急性胃粘膜损害，和非甾体类抗炎药引起的消化道出血。</t>
  </si>
  <si>
    <t>注射用七叶皂苷钠</t>
  </si>
  <si>
    <t>内科、老年病科、全科医疗科</t>
  </si>
  <si>
    <t>无指征使用注射用七叶皂苷钠。2023年1月1日至2025年6月30日期间，排除诊断含“脑水肿、水肿、静脉、梗、塞、肿瘤、痔疮、肿胀、心、脑、术”，排除科室含“外、骨”，使用注射用七叶皂苷钠，属超适应症用药，涉及336次。
例：刘德松，住院号ZY20211658，诊断：高血压3级、脑梗死后遗症、冠状动脉粥样硬化型心脏病，无指征使用注射用七叶皂苷钠。</t>
  </si>
  <si>
    <t>根据注射用七叶皂苷钠说明书，适应症：用于脑水肿、创伤或手术所致水肿，也用于静脉回流障碍性疾病。</t>
  </si>
  <si>
    <t>环磷腺苷葡胺注射液</t>
  </si>
  <si>
    <t>无相关适应症使用环磷腺苷葡胺注射液。2023年1月1日至2025年6月30日期间，排除诊断含“心、病窦综合征、病态窦房结综合征、胸痛、胸闷、呼吸困难”，使用环磷腺苷葡胺注射液，涉及6人次，收费数量60。
例：官纯国，住院号ZY20254537，诊断：高血压3级，使用环磷腺苷葡胺注射液。</t>
  </si>
  <si>
    <t>根据环磷腺苷葡胺注射液说明书，适应症：用于心力衰竭、心肌炎、病窦综合征冠心病及心肌炎的辅助治疗。</t>
  </si>
  <si>
    <t>其他（超量开药）</t>
  </si>
  <si>
    <t>磷酸西格列汀片（编码XA10BHX202A001010178377）</t>
  </si>
  <si>
    <t>门诊</t>
  </si>
  <si>
    <t>根据药品说明书，磷酸西格列汀片（规格100mg*30片/瓶）每日最大剂量为100mg，单次处方最大可开具3瓶，医院为患者单次开具该药超过3瓶，超过3瓶部分属超量开药。刘瑞海，2025年6月11日开具磷酸西格列汀片（医保编码XA10BHX202A001010178377）6瓶，超3瓶</t>
  </si>
  <si>
    <t>根据《长期处方规范》，第十一条 根据患者诊疗需要，长期处方的处方量一般在4周内;根据慢性病特点，病情稳定的患者适当延长，最长不超过12周。
根据药品说明书，磷酸西格列汀片推荐剂量为100mg，每日一次。</t>
  </si>
  <si>
    <t>其他（非诊疗目的用药）</t>
  </si>
  <si>
    <t>司美格鲁肽注射液</t>
  </si>
  <si>
    <t>非诊疗目的患者开具司美格鲁肽注射液。例：王绯旻，门诊号201900064307，诊断甲状腺结节，用法用量超出常规治疗用量。2023年1月1日至2025年6月30日期间，涉及4人次9支</t>
  </si>
  <si>
    <t>根据《基本医疗保险用药管理暂行办法》第八条 以下药品不纳入《药品目录》：（五）主要起增强性功能、治疗脱发、减肥、美容、戒烟、戒酒等作用的药品；</t>
  </si>
  <si>
    <t>内部管理问题</t>
  </si>
  <si>
    <t>其他（使用过期或未检验医疗器械）</t>
  </si>
  <si>
    <t>病人监护仪、心电图机</t>
  </si>
  <si>
    <t>/</t>
  </si>
  <si>
    <t>该院病人监护仪、心电图机，未定期检定，无相关报告</t>
  </si>
  <si>
    <t>根据《实施强制管理的计量器具目录》（国家市场监督管理总局公告2019年第48号）相关规定，部分常见医疗剂量器具应定期检定</t>
  </si>
  <si>
    <t>其他（冒名就医）</t>
  </si>
  <si>
    <t>陈勇，2023.8.3、2023.7.14分别在该院门诊收取阻生牙拔除术4次，合计8次，其中一次结算实际就诊人为其家属</t>
  </si>
  <si>
    <t>根据《荆州市基本医疗保障定点医疗机构服务协议》第三十四条 参保人员就医时，乙方及其工作人员应执行实名就医和购药管理规定，核验参保人员的医疗保障凭证，做到人证相符。乙方发现证件无效、人证不符的，不得进行医保结算。遇其他特殊情况，按甲方有关规定执行。乙方不得收集、留存参保人员医疗保障凭证，不得诱导、协助他人冒名或者虚假就医、购药。</t>
  </si>
  <si>
    <t>被检机构负责人确认签字：           　　     检查组组长：　　　　　　    检查组主要成员：                        　　　　 　　　　                             确认时间：2025年  月  日　　</t>
  </si>
  <si>
    <t>（本文书一式二份，一份移交属地医疗保障行政部门，一份上交省医疗保障局归档。）</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</si>
</sst>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5">
    <font>
      <sz val="11"/>
      <color theme="1"/>
      <name val="宋体"/>
      <charset val="134"/>
      <scheme val="minor"/>
    </font>
    <font>
      <sz val="11"/>
      <name val="宋体"/>
      <charset val="134"/>
      <scheme val="minor"/>
    </font>
    <font>
      <sz val="20"/>
      <name val="方正小标宋简体"/>
      <charset val="134"/>
    </font>
    <font>
      <sz val="12"/>
      <name val="仿宋"/>
      <charset val="134"/>
    </font>
    <font>
      <sz val="11"/>
      <name val="楷体"/>
      <charset val="134"/>
    </font>
    <font>
      <sz val="11"/>
      <name val="仿宋"/>
      <charset val="134"/>
    </font>
    <font>
      <sz val="11"/>
      <name val="Calibri"/>
      <charset val="134"/>
    </font>
    <font>
      <b/>
      <sz val="11"/>
      <name val="仿宋"/>
      <charset val="134"/>
    </font>
    <font>
      <sz val="13"/>
      <name val="仿宋"/>
      <charset val="134"/>
    </font>
    <font>
      <sz val="12"/>
      <color theme="1"/>
      <name val="仿宋"/>
      <charset val="134"/>
    </font>
    <font>
      <sz val="20"/>
      <color theme="1"/>
      <name val="方正小标宋简体"/>
      <charset val="134"/>
    </font>
    <font>
      <sz val="11"/>
      <color theme="1"/>
      <name val="仿宋"/>
      <charset val="134"/>
    </font>
    <font>
      <sz val="12"/>
      <color theme="1"/>
      <name val="楷体"/>
      <charset val="134"/>
    </font>
    <font>
      <sz val="14"/>
      <color rgb="FFFF000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楷体"/>
      <charset val="134"/>
    </font>
    <font>
      <sz val="12"/>
      <color rgb="FFFF0000"/>
      <name val="仿宋"/>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top/>
      <bottom/>
      <diagonal/>
    </border>
    <border>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3" borderId="2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9" applyNumberFormat="0" applyFill="0" applyAlignment="0" applyProtection="0">
      <alignment vertical="center"/>
    </xf>
    <xf numFmtId="0" fontId="20" fillId="0" borderId="29" applyNumberFormat="0" applyFill="0" applyAlignment="0" applyProtection="0">
      <alignment vertical="center"/>
    </xf>
    <xf numFmtId="0" fontId="21" fillId="0" borderId="30" applyNumberFormat="0" applyFill="0" applyAlignment="0" applyProtection="0">
      <alignment vertical="center"/>
    </xf>
    <xf numFmtId="0" fontId="21" fillId="0" borderId="0" applyNumberFormat="0" applyFill="0" applyBorder="0" applyAlignment="0" applyProtection="0">
      <alignment vertical="center"/>
    </xf>
    <xf numFmtId="0" fontId="22" fillId="4" borderId="31" applyNumberFormat="0" applyAlignment="0" applyProtection="0">
      <alignment vertical="center"/>
    </xf>
    <xf numFmtId="0" fontId="23" fillId="5" borderId="32" applyNumberFormat="0" applyAlignment="0" applyProtection="0">
      <alignment vertical="center"/>
    </xf>
    <xf numFmtId="0" fontId="24" fillId="5" borderId="31" applyNumberFormat="0" applyAlignment="0" applyProtection="0">
      <alignment vertical="center"/>
    </xf>
    <xf numFmtId="0" fontId="25" fillId="6" borderId="33" applyNumberFormat="0" applyAlignment="0" applyProtection="0">
      <alignment vertical="center"/>
    </xf>
    <xf numFmtId="0" fontId="26" fillId="0" borderId="34" applyNumberFormat="0" applyFill="0" applyAlignment="0" applyProtection="0">
      <alignment vertical="center"/>
    </xf>
    <xf numFmtId="0" fontId="27" fillId="0" borderId="35"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71">
    <xf numFmtId="0" fontId="0" fillId="0" borderId="0" xfId="0">
      <alignment vertical="center"/>
    </xf>
    <xf numFmtId="0" fontId="1" fillId="0" borderId="0" xfId="0" applyFont="1" applyFill="1">
      <alignment vertical="center"/>
    </xf>
    <xf numFmtId="0" fontId="1" fillId="0" borderId="0" xfId="0" applyFont="1" applyFill="1" applyAlignment="1">
      <alignment horizontal="justify" vertical="center" wrapText="1"/>
    </xf>
    <xf numFmtId="0" fontId="2" fillId="0" borderId="0" xfId="0" applyFont="1" applyFill="1" applyAlignment="1">
      <alignment horizontal="center" vertical="center" wrapText="1"/>
    </xf>
    <xf numFmtId="0" fontId="3" fillId="0" borderId="0" xfId="0" applyFont="1" applyFill="1" applyAlignment="1">
      <alignment horizontal="left"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176" fontId="5"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lignment vertical="center"/>
    </xf>
    <xf numFmtId="0" fontId="5" fillId="0" borderId="0"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0" fontId="5" fillId="0" borderId="1" xfId="0" applyFont="1" applyFill="1" applyBorder="1" applyAlignment="1">
      <alignment vertical="center" wrapText="1"/>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8" fillId="0" borderId="0" xfId="0" applyFont="1" applyFill="1" applyAlignment="1">
      <alignment horizontal="center" vertical="center" wrapText="1"/>
    </xf>
    <xf numFmtId="0" fontId="9" fillId="0" borderId="0" xfId="0" applyFont="1" applyAlignment="1">
      <alignment horizontal="left" vertical="center"/>
    </xf>
    <xf numFmtId="0" fontId="10" fillId="0" borderId="0" xfId="0" applyFont="1" applyAlignment="1">
      <alignment horizontal="center" vertical="center" wrapText="1"/>
    </xf>
    <xf numFmtId="0" fontId="9" fillId="0" borderId="0" xfId="0" applyFont="1" applyAlignment="1">
      <alignment horizontal="center" vertical="center"/>
    </xf>
    <xf numFmtId="0" fontId="11" fillId="0" borderId="5"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wrapText="1"/>
    </xf>
    <xf numFmtId="0" fontId="12" fillId="0" borderId="12" xfId="0" applyFont="1" applyBorder="1" applyAlignment="1">
      <alignment horizontal="center" vertical="center"/>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5" xfId="0" applyFont="1" applyBorder="1" applyAlignment="1">
      <alignment horizontal="center" vertical="center" wrapText="1"/>
    </xf>
    <xf numFmtId="0" fontId="12" fillId="2" borderId="0" xfId="0" applyFont="1" applyFill="1" applyAlignment="1">
      <alignment horizontal="center" vertical="center" wrapText="1"/>
    </xf>
    <xf numFmtId="0" fontId="12" fillId="2" borderId="18"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0" borderId="19" xfId="0" applyFont="1" applyBorder="1" applyAlignment="1">
      <alignment horizontal="center" vertical="center"/>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2" borderId="20" xfId="0" applyFont="1" applyFill="1" applyBorder="1" applyAlignment="1">
      <alignment horizontal="center" vertical="center" wrapText="1"/>
    </xf>
    <xf numFmtId="0" fontId="11" fillId="0" borderId="22"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11" fillId="0" borderId="16" xfId="0" applyFont="1" applyBorder="1">
      <alignment vertical="center"/>
    </xf>
    <xf numFmtId="0" fontId="11" fillId="0" borderId="1" xfId="0" applyFont="1" applyBorder="1" applyAlignment="1">
      <alignment horizontal="center" vertical="center" wrapText="1"/>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lignment vertical="center"/>
    </xf>
    <xf numFmtId="0" fontId="11" fillId="0" borderId="26" xfId="0" applyFont="1" applyBorder="1">
      <alignment vertical="center"/>
    </xf>
    <xf numFmtId="0" fontId="9" fillId="0" borderId="27" xfId="0" applyFont="1" applyBorder="1" applyAlignment="1">
      <alignment horizontal="left" vertical="center"/>
    </xf>
    <xf numFmtId="0" fontId="9" fillId="0" borderId="0" xfId="0" applyFont="1" applyAlignment="1">
      <alignment horizontal="left" vertical="center" wrapText="1"/>
    </xf>
    <xf numFmtId="0" fontId="13" fillId="0" borderId="0" xfId="0" applyFont="1" applyAlignment="1">
      <alignment vertical="top" wrapText="1"/>
    </xf>
    <xf numFmtId="0" fontId="9"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3"/>
  <sheetViews>
    <sheetView topLeftCell="A2" workbookViewId="0">
      <selection activeCell="D5" sqref="D5:E5"/>
    </sheetView>
  </sheetViews>
  <sheetFormatPr defaultColWidth="9" defaultRowHeight="14.4"/>
  <cols>
    <col min="1" max="1" width="10.8796296296296" customWidth="1"/>
    <col min="4" max="4" width="8.25" customWidth="1"/>
    <col min="5" max="5" width="8" customWidth="1"/>
    <col min="7" max="7" width="8.25" customWidth="1"/>
    <col min="8" max="8" width="6.62962962962963" customWidth="1"/>
    <col min="11" max="11" width="11.25" customWidth="1"/>
    <col min="12" max="12" width="7.62962962962963" customWidth="1"/>
    <col min="13" max="13" width="7.37962962962963" customWidth="1"/>
    <col min="14" max="17" width="7.12962962962963" customWidth="1"/>
    <col min="18" max="18" width="8" customWidth="1"/>
    <col min="19" max="19" width="11.25" customWidth="1"/>
    <col min="20" max="20" width="7.5" customWidth="1"/>
    <col min="21" max="21" width="5.25" customWidth="1"/>
    <col min="23" max="23" width="7.5" customWidth="1"/>
  </cols>
  <sheetData>
    <row r="1" ht="34.5" customHeight="1" spans="1:26">
      <c r="A1" s="21" t="s">
        <v>0</v>
      </c>
      <c r="B1" s="21"/>
    </row>
    <row r="2" ht="50.25" customHeight="1" spans="1:26">
      <c r="A2" s="22" t="s">
        <v>1</v>
      </c>
      <c r="B2" s="22"/>
      <c r="C2" s="22"/>
      <c r="D2" s="22"/>
      <c r="E2" s="22"/>
      <c r="F2" s="22"/>
      <c r="G2" s="22"/>
      <c r="H2" s="22"/>
      <c r="I2" s="22"/>
      <c r="J2" s="22"/>
      <c r="K2" s="22"/>
      <c r="L2" s="22"/>
      <c r="M2" s="22"/>
      <c r="N2" s="22"/>
      <c r="O2" s="22"/>
      <c r="P2" s="22"/>
      <c r="Q2" s="22"/>
      <c r="R2" s="22"/>
      <c r="S2" s="22"/>
      <c r="T2" s="22"/>
      <c r="U2" s="22"/>
      <c r="V2" s="22"/>
      <c r="W2" s="22"/>
      <c r="X2" s="22"/>
      <c r="Y2" s="22"/>
      <c r="Z2" s="22"/>
    </row>
    <row r="3" ht="45.75" customHeight="1" spans="1:26">
      <c r="A3" s="21" t="s">
        <v>2</v>
      </c>
      <c r="B3" s="21"/>
      <c r="C3" s="21"/>
      <c r="D3" s="21"/>
      <c r="E3" s="21"/>
      <c r="F3" s="21"/>
      <c r="G3" s="21"/>
      <c r="H3" s="21"/>
      <c r="I3" s="23" t="s">
        <v>3</v>
      </c>
      <c r="J3" s="23"/>
      <c r="K3" s="23"/>
      <c r="L3" s="23"/>
      <c r="M3" s="23"/>
      <c r="N3" s="23"/>
      <c r="O3" s="23"/>
      <c r="P3" s="23"/>
      <c r="Q3" s="23"/>
      <c r="R3" s="23"/>
      <c r="S3" s="23"/>
      <c r="T3" s="23"/>
      <c r="U3" s="23"/>
      <c r="V3" s="23"/>
      <c r="W3" s="24" t="s">
        <v>4</v>
      </c>
      <c r="X3" s="24"/>
      <c r="Y3" s="24"/>
      <c r="Z3" s="24"/>
    </row>
    <row r="4" ht="42" customHeight="1" spans="1:26">
      <c r="A4" s="25" t="s">
        <v>5</v>
      </c>
      <c r="B4" s="26" t="s">
        <v>6</v>
      </c>
      <c r="C4" s="27" t="s">
        <v>7</v>
      </c>
      <c r="D4" s="28"/>
      <c r="E4" s="29"/>
      <c r="F4" s="30" t="s">
        <v>8</v>
      </c>
      <c r="G4" s="31"/>
      <c r="H4" s="31"/>
      <c r="I4" s="31"/>
      <c r="J4" s="31"/>
      <c r="K4" s="31"/>
      <c r="L4" s="31"/>
      <c r="M4" s="31"/>
      <c r="N4" s="31"/>
      <c r="O4" s="31"/>
      <c r="P4" s="31"/>
      <c r="Q4" s="31"/>
      <c r="R4" s="31"/>
      <c r="S4" s="31"/>
      <c r="T4" s="31"/>
      <c r="U4" s="31"/>
      <c r="V4" s="32"/>
      <c r="W4" s="27" t="s">
        <v>9</v>
      </c>
      <c r="X4" s="28"/>
      <c r="Y4" s="29"/>
      <c r="Z4" s="33" t="s">
        <v>10</v>
      </c>
    </row>
    <row r="5" ht="30" customHeight="1" spans="1:26">
      <c r="A5" s="34"/>
      <c r="B5" s="35"/>
      <c r="C5" s="36" t="s">
        <v>11</v>
      </c>
      <c r="D5" s="37"/>
      <c r="E5" s="38"/>
      <c r="F5" s="39" t="s">
        <v>12</v>
      </c>
      <c r="G5" s="37"/>
      <c r="H5" s="37"/>
      <c r="I5" s="38"/>
      <c r="J5" s="40" t="s">
        <v>13</v>
      </c>
      <c r="K5" s="41"/>
      <c r="L5" s="41"/>
      <c r="M5" s="41"/>
      <c r="N5" s="42"/>
      <c r="O5" s="43" t="s">
        <v>14</v>
      </c>
      <c r="P5" s="44"/>
      <c r="Q5" s="44"/>
      <c r="R5" s="44"/>
      <c r="S5" s="44"/>
      <c r="T5" s="44"/>
      <c r="U5" s="44"/>
      <c r="V5" s="45"/>
      <c r="W5" s="46" t="s">
        <v>15</v>
      </c>
      <c r="X5" s="47" t="s">
        <v>16</v>
      </c>
      <c r="Y5" s="47" t="s">
        <v>17</v>
      </c>
      <c r="Z5" s="48"/>
    </row>
    <row r="6" ht="30" customHeight="1" spans="1:26">
      <c r="A6" s="34"/>
      <c r="B6" s="35"/>
      <c r="C6" s="49"/>
      <c r="D6" s="50" t="s">
        <v>18</v>
      </c>
      <c r="E6" s="50" t="s">
        <v>19</v>
      </c>
      <c r="F6" s="49" t="s">
        <v>20</v>
      </c>
      <c r="G6" s="44"/>
      <c r="H6" s="51"/>
      <c r="I6" s="35" t="s">
        <v>21</v>
      </c>
      <c r="J6" s="36" t="s">
        <v>22</v>
      </c>
      <c r="K6" s="38"/>
      <c r="L6" s="50" t="s">
        <v>23</v>
      </c>
      <c r="M6" s="46" t="s">
        <v>24</v>
      </c>
      <c r="N6" s="50" t="s">
        <v>25</v>
      </c>
      <c r="O6" s="52" t="s">
        <v>26</v>
      </c>
      <c r="P6" s="46" t="s">
        <v>27</v>
      </c>
      <c r="Q6" s="46" t="s">
        <v>28</v>
      </c>
      <c r="R6" s="46" t="s">
        <v>29</v>
      </c>
      <c r="S6" s="46" t="s">
        <v>30</v>
      </c>
      <c r="T6" s="46" t="s">
        <v>31</v>
      </c>
      <c r="U6" s="46" t="s">
        <v>32</v>
      </c>
      <c r="V6" s="46" t="s">
        <v>33</v>
      </c>
      <c r="W6" s="53"/>
      <c r="X6" s="47"/>
      <c r="Y6" s="47"/>
      <c r="Z6" s="48"/>
    </row>
    <row r="7" ht="89.25" customHeight="1" spans="1:26">
      <c r="A7" s="54"/>
      <c r="B7" s="55"/>
      <c r="C7" s="56"/>
      <c r="D7" s="55"/>
      <c r="E7" s="55"/>
      <c r="F7" s="56"/>
      <c r="G7" s="47" t="s">
        <v>34</v>
      </c>
      <c r="H7" s="47" t="s">
        <v>35</v>
      </c>
      <c r="I7" s="55"/>
      <c r="J7" s="56"/>
      <c r="K7" s="50" t="s">
        <v>36</v>
      </c>
      <c r="L7" s="55"/>
      <c r="M7" s="57"/>
      <c r="N7" s="55"/>
      <c r="O7" s="57"/>
      <c r="P7" s="57"/>
      <c r="Q7" s="57"/>
      <c r="R7" s="57"/>
      <c r="S7" s="57"/>
      <c r="T7" s="57"/>
      <c r="U7" s="57"/>
      <c r="V7" s="57"/>
      <c r="W7" s="57"/>
      <c r="X7" s="47"/>
      <c r="Y7" s="47"/>
      <c r="Z7" s="48"/>
    </row>
    <row r="8" ht="30" customHeight="1" spans="1:26">
      <c r="A8" s="58"/>
      <c r="B8" s="59"/>
      <c r="C8" s="59"/>
      <c r="D8" s="59"/>
      <c r="E8" s="59"/>
      <c r="F8" s="59"/>
      <c r="G8" s="59"/>
      <c r="H8" s="59"/>
      <c r="I8" s="59"/>
      <c r="J8" s="59"/>
      <c r="K8" s="59"/>
      <c r="L8" s="59"/>
      <c r="M8" s="60"/>
      <c r="N8" s="60"/>
      <c r="O8" s="60"/>
      <c r="P8" s="60"/>
      <c r="Q8" s="60"/>
      <c r="R8" s="60"/>
      <c r="S8" s="60"/>
      <c r="T8" s="60"/>
      <c r="U8" s="60"/>
      <c r="V8" s="59"/>
      <c r="W8" s="59"/>
      <c r="X8" s="59"/>
      <c r="Y8" s="59"/>
      <c r="Z8" s="61"/>
    </row>
    <row r="9" ht="30" customHeight="1" spans="1:26">
      <c r="A9" s="58"/>
      <c r="B9" s="59"/>
      <c r="C9" s="59"/>
      <c r="D9" s="59"/>
      <c r="E9" s="59"/>
      <c r="F9" s="59"/>
      <c r="G9" s="59"/>
      <c r="H9" s="59"/>
      <c r="I9" s="59"/>
      <c r="J9" s="59"/>
      <c r="K9" s="59"/>
      <c r="L9" s="59"/>
      <c r="M9" s="60"/>
      <c r="N9" s="60"/>
      <c r="O9" s="60"/>
      <c r="P9" s="60"/>
      <c r="Q9" s="60"/>
      <c r="R9" s="60"/>
      <c r="S9" s="60"/>
      <c r="T9" s="60"/>
      <c r="U9" s="60"/>
      <c r="V9" s="59"/>
      <c r="W9" s="59"/>
      <c r="X9" s="59"/>
      <c r="Y9" s="59"/>
      <c r="Z9" s="61"/>
    </row>
    <row r="10" ht="30" customHeight="1" spans="1:26">
      <c r="A10" s="58"/>
      <c r="B10" s="62"/>
      <c r="C10" s="59"/>
      <c r="D10" s="59"/>
      <c r="E10" s="59"/>
      <c r="F10" s="59"/>
      <c r="G10" s="59"/>
      <c r="H10" s="59"/>
      <c r="I10" s="59"/>
      <c r="J10" s="59"/>
      <c r="K10" s="59"/>
      <c r="L10" s="59"/>
      <c r="M10" s="60"/>
      <c r="N10" s="60"/>
      <c r="O10" s="60"/>
      <c r="P10" s="60"/>
      <c r="Q10" s="60"/>
      <c r="R10" s="60"/>
      <c r="S10" s="60"/>
      <c r="T10" s="60"/>
      <c r="U10" s="60"/>
      <c r="V10" s="59"/>
      <c r="W10" s="59"/>
      <c r="X10" s="59"/>
      <c r="Y10" s="59"/>
      <c r="Z10" s="61"/>
    </row>
    <row r="11" ht="30" customHeight="1" spans="1:26">
      <c r="A11" s="63" t="s">
        <v>37</v>
      </c>
      <c r="B11" s="64"/>
      <c r="C11" s="65"/>
      <c r="D11" s="65"/>
      <c r="E11" s="65"/>
      <c r="F11" s="65"/>
      <c r="G11" s="65"/>
      <c r="H11" s="65"/>
      <c r="I11" s="65"/>
      <c r="J11" s="65"/>
      <c r="K11" s="65"/>
      <c r="L11" s="65"/>
      <c r="M11" s="65"/>
      <c r="N11" s="65"/>
      <c r="O11" s="65"/>
      <c r="P11" s="65"/>
      <c r="Q11" s="65"/>
      <c r="R11" s="65"/>
      <c r="S11" s="65"/>
      <c r="T11" s="65"/>
      <c r="U11" s="65"/>
      <c r="V11" s="65"/>
      <c r="W11" s="65"/>
      <c r="X11" s="65"/>
      <c r="Y11" s="65"/>
      <c r="Z11" s="66"/>
    </row>
    <row r="12" ht="55.5" customHeight="1" spans="1:26">
      <c r="A12" s="21" t="s">
        <v>38</v>
      </c>
      <c r="B12" s="21"/>
      <c r="C12" s="67" t="s">
        <v>39</v>
      </c>
      <c r="D12" s="67"/>
      <c r="E12" s="67"/>
      <c r="F12" s="67"/>
      <c r="G12" s="67"/>
      <c r="H12" s="67"/>
      <c r="I12" s="68" t="s">
        <v>40</v>
      </c>
      <c r="J12" s="68"/>
      <c r="K12" s="68"/>
      <c r="L12" s="68"/>
      <c r="M12" s="68"/>
      <c r="N12" s="68"/>
      <c r="O12" s="68" t="s">
        <v>41</v>
      </c>
      <c r="P12" s="68"/>
      <c r="Q12" s="68"/>
      <c r="R12" s="68"/>
      <c r="S12" s="68"/>
      <c r="T12" s="68"/>
      <c r="U12" s="68"/>
      <c r="V12" s="68"/>
      <c r="W12" s="21" t="s">
        <v>42</v>
      </c>
      <c r="X12" s="21"/>
      <c r="Y12" s="21"/>
      <c r="Z12" s="21"/>
    </row>
    <row r="13" ht="92.25" customHeight="1" spans="1:26">
      <c r="A13" s="69" t="s">
        <v>43</v>
      </c>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sheetData>
  <mergeCells count="41">
    <mergeCell ref="A1:B1"/>
    <mergeCell ref="A2:Z2"/>
    <mergeCell ref="A3:G3"/>
    <mergeCell ref="I3:V3"/>
    <mergeCell ref="W3:Z3"/>
    <mergeCell ref="C4:E4"/>
    <mergeCell ref="F4:V4"/>
    <mergeCell ref="W4:Y4"/>
    <mergeCell ref="D5:E5"/>
    <mergeCell ref="F5:I5"/>
    <mergeCell ref="J5:N5"/>
    <mergeCell ref="O5:V5"/>
    <mergeCell ref="A12:B12"/>
    <mergeCell ref="C12:H12"/>
    <mergeCell ref="I12:N12"/>
    <mergeCell ref="O12:V12"/>
    <mergeCell ref="W12:Z12"/>
    <mergeCell ref="A13:Z13"/>
    <mergeCell ref="A4:A7"/>
    <mergeCell ref="B4:B7"/>
    <mergeCell ref="C5:C7"/>
    <mergeCell ref="D6:D7"/>
    <mergeCell ref="E6:E7"/>
    <mergeCell ref="F6:F7"/>
    <mergeCell ref="I6:I7"/>
    <mergeCell ref="J6:J7"/>
    <mergeCell ref="L6:L7"/>
    <mergeCell ref="M6:M7"/>
    <mergeCell ref="N6:N7"/>
    <mergeCell ref="O6:O7"/>
    <mergeCell ref="P6:P7"/>
    <mergeCell ref="Q6:Q7"/>
    <mergeCell ref="R6:R7"/>
    <mergeCell ref="S6:S7"/>
    <mergeCell ref="T6:T7"/>
    <mergeCell ref="U6:U7"/>
    <mergeCell ref="V6:V7"/>
    <mergeCell ref="W5:W7"/>
    <mergeCell ref="X5:X7"/>
    <mergeCell ref="Y5:Y7"/>
    <mergeCell ref="Z4:Z7"/>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69"/>
  <sheetViews>
    <sheetView tabSelected="1" zoomScale="70" zoomScaleNormal="70" topLeftCell="A2" workbookViewId="0">
      <selection activeCell="P6" sqref="P6"/>
    </sheetView>
  </sheetViews>
  <sheetFormatPr defaultColWidth="9" defaultRowHeight="14.4"/>
  <cols>
    <col min="1" max="1" width="9" style="1" customWidth="1"/>
    <col min="2" max="2" width="14.8888888888889" style="1" customWidth="1"/>
    <col min="3" max="3" width="13" style="1" customWidth="1"/>
    <col min="4" max="4" width="18.5" style="1" customWidth="1"/>
    <col min="5" max="5" width="11.8796296296296" style="1" customWidth="1"/>
    <col min="6" max="6" width="39" style="1" customWidth="1"/>
    <col min="7" max="7" width="9.88888888888889" style="1" customWidth="1"/>
    <col min="8" max="8" width="16.5" style="1" customWidth="1"/>
    <col min="9" max="9" width="18.4074074074074" style="1" customWidth="1"/>
    <col min="10" max="10" width="33.1111111111111" style="2" customWidth="1"/>
    <col min="11" max="11" width="8.22222222222222" style="1" customWidth="1"/>
    <col min="12" max="12" width="18.8796296296296" style="1" customWidth="1"/>
    <col min="13" max="16384" width="9" style="1"/>
  </cols>
  <sheetData>
    <row r="1" ht="47" customHeight="1" spans="1:12">
      <c r="A1" s="3" t="s">
        <v>44</v>
      </c>
      <c r="B1" s="3"/>
      <c r="C1" s="3"/>
      <c r="D1" s="3"/>
      <c r="E1" s="3"/>
      <c r="F1" s="3"/>
      <c r="G1" s="3"/>
      <c r="H1" s="3"/>
      <c r="I1" s="3"/>
      <c r="J1" s="3"/>
      <c r="K1" s="3"/>
      <c r="L1" s="3"/>
    </row>
    <row r="2" ht="23" customHeight="1" spans="1:12">
      <c r="A2" s="4" t="s">
        <v>45</v>
      </c>
      <c r="B2" s="4"/>
      <c r="C2" s="4"/>
      <c r="D2" s="4"/>
      <c r="E2" s="4"/>
      <c r="F2" s="4"/>
      <c r="G2" s="4"/>
      <c r="H2" s="4"/>
      <c r="I2" s="4"/>
      <c r="J2" s="4"/>
      <c r="K2" s="4"/>
      <c r="L2" s="4"/>
    </row>
    <row r="3" ht="15.6" spans="1:12">
      <c r="A3" s="4" t="s">
        <v>46</v>
      </c>
      <c r="B3" s="4"/>
      <c r="C3" s="4"/>
      <c r="D3" s="4"/>
      <c r="E3" s="4"/>
      <c r="F3" s="4"/>
      <c r="G3" s="4"/>
      <c r="H3" s="4"/>
      <c r="I3" s="4"/>
      <c r="J3" s="4"/>
      <c r="K3" s="4"/>
      <c r="L3" s="4"/>
    </row>
    <row r="4" s="1" customFormat="1" ht="43.2" spans="1:12">
      <c r="A4" s="5" t="s">
        <v>47</v>
      </c>
      <c r="B4" s="5" t="s">
        <v>48</v>
      </c>
      <c r="C4" s="5" t="s">
        <v>49</v>
      </c>
      <c r="D4" s="5" t="s">
        <v>50</v>
      </c>
      <c r="E4" s="5" t="s">
        <v>51</v>
      </c>
      <c r="F4" s="5" t="s">
        <v>52</v>
      </c>
      <c r="G4" s="5" t="s">
        <v>53</v>
      </c>
      <c r="H4" s="5" t="s">
        <v>54</v>
      </c>
      <c r="I4" s="5" t="s">
        <v>55</v>
      </c>
      <c r="J4" s="5" t="s">
        <v>56</v>
      </c>
      <c r="K4" s="5" t="s">
        <v>57</v>
      </c>
      <c r="L4" s="5" t="s">
        <v>10</v>
      </c>
    </row>
    <row r="5" s="1" customFormat="1" ht="129.6" spans="1:12">
      <c r="A5" s="6">
        <v>1</v>
      </c>
      <c r="B5" s="6" t="s">
        <v>58</v>
      </c>
      <c r="C5" s="6" t="s">
        <v>59</v>
      </c>
      <c r="D5" s="6" t="s">
        <v>60</v>
      </c>
      <c r="E5" s="6" t="s">
        <v>61</v>
      </c>
      <c r="F5" s="7" t="s">
        <v>62</v>
      </c>
      <c r="G5" s="6">
        <v>2</v>
      </c>
      <c r="H5" s="8">
        <v>3620</v>
      </c>
      <c r="I5" s="8">
        <v>3281.89</v>
      </c>
      <c r="J5" s="7" t="s">
        <v>63</v>
      </c>
      <c r="K5" s="6" t="s">
        <v>64</v>
      </c>
      <c r="L5" s="6"/>
    </row>
    <row r="6" s="1" customFormat="1" ht="263" customHeight="1" spans="1:12">
      <c r="A6" s="6">
        <v>2</v>
      </c>
      <c r="B6" s="6" t="s">
        <v>58</v>
      </c>
      <c r="C6" s="6" t="s">
        <v>59</v>
      </c>
      <c r="D6" s="6" t="s">
        <v>65</v>
      </c>
      <c r="E6" s="6"/>
      <c r="F6" s="7" t="s">
        <v>66</v>
      </c>
      <c r="G6" s="6">
        <v>6</v>
      </c>
      <c r="H6" s="8">
        <v>342</v>
      </c>
      <c r="I6" s="8">
        <v>310.06</v>
      </c>
      <c r="J6" s="7" t="s">
        <v>67</v>
      </c>
      <c r="K6" s="6"/>
      <c r="L6" s="6" t="s">
        <v>68</v>
      </c>
    </row>
    <row r="7" s="1" customFormat="1" ht="155" customHeight="1" spans="1:12">
      <c r="A7" s="6">
        <v>3</v>
      </c>
      <c r="B7" s="6" t="s">
        <v>69</v>
      </c>
      <c r="C7" s="6" t="s">
        <v>70</v>
      </c>
      <c r="D7" s="6" t="s">
        <v>71</v>
      </c>
      <c r="E7" s="6" t="s">
        <v>72</v>
      </c>
      <c r="F7" s="7" t="s">
        <v>73</v>
      </c>
      <c r="G7" s="6">
        <v>9300</v>
      </c>
      <c r="H7" s="8">
        <v>139500</v>
      </c>
      <c r="I7" s="8">
        <v>126470.7</v>
      </c>
      <c r="J7" s="7" t="s">
        <v>74</v>
      </c>
      <c r="K7" s="6"/>
      <c r="L7" s="6"/>
    </row>
    <row r="8" s="1" customFormat="1" ht="199" customHeight="1" spans="1:12">
      <c r="A8" s="6">
        <v>4</v>
      </c>
      <c r="B8" s="6" t="s">
        <v>69</v>
      </c>
      <c r="C8" s="6" t="s">
        <v>70</v>
      </c>
      <c r="D8" s="6" t="s">
        <v>75</v>
      </c>
      <c r="E8" s="6" t="s">
        <v>76</v>
      </c>
      <c r="F8" s="7" t="s">
        <v>77</v>
      </c>
      <c r="G8" s="6">
        <v>5967</v>
      </c>
      <c r="H8" s="9">
        <v>89505</v>
      </c>
      <c r="I8" s="8">
        <v>81145.23</v>
      </c>
      <c r="J8" s="7" t="s">
        <v>78</v>
      </c>
      <c r="K8" s="6"/>
      <c r="L8" s="6"/>
    </row>
    <row r="9" s="1" customFormat="1" ht="86.4" spans="1:12">
      <c r="A9" s="6">
        <v>5</v>
      </c>
      <c r="B9" s="6" t="s">
        <v>69</v>
      </c>
      <c r="C9" s="6" t="s">
        <v>70</v>
      </c>
      <c r="D9" s="6" t="s">
        <v>79</v>
      </c>
      <c r="E9" s="6" t="s">
        <v>80</v>
      </c>
      <c r="F9" s="7" t="s">
        <v>81</v>
      </c>
      <c r="G9" s="6">
        <v>163</v>
      </c>
      <c r="H9" s="9">
        <v>32600</v>
      </c>
      <c r="I9" s="8">
        <v>29555.16</v>
      </c>
      <c r="J9" s="7" t="s">
        <v>82</v>
      </c>
      <c r="K9" s="6" t="s">
        <v>83</v>
      </c>
      <c r="L9" s="6"/>
    </row>
    <row r="10" ht="174" customHeight="1" spans="1:12">
      <c r="A10" s="6">
        <v>6</v>
      </c>
      <c r="B10" s="6" t="s">
        <v>69</v>
      </c>
      <c r="C10" s="6" t="s">
        <v>70</v>
      </c>
      <c r="D10" s="6" t="s">
        <v>84</v>
      </c>
      <c r="E10" s="6" t="s">
        <v>85</v>
      </c>
      <c r="F10" s="7" t="s">
        <v>86</v>
      </c>
      <c r="G10" s="6">
        <v>1</v>
      </c>
      <c r="H10" s="8">
        <v>115</v>
      </c>
      <c r="I10" s="8">
        <v>104.26</v>
      </c>
      <c r="J10" s="7" t="s">
        <v>87</v>
      </c>
      <c r="K10" s="6"/>
      <c r="L10" s="6"/>
    </row>
    <row r="11" ht="132" customHeight="1" spans="1:12">
      <c r="A11" s="6">
        <v>7</v>
      </c>
      <c r="B11" s="6" t="s">
        <v>69</v>
      </c>
      <c r="C11" s="6" t="s">
        <v>88</v>
      </c>
      <c r="D11" s="6" t="s">
        <v>89</v>
      </c>
      <c r="E11" s="6" t="s">
        <v>61</v>
      </c>
      <c r="F11" s="7" t="s">
        <v>90</v>
      </c>
      <c r="G11" s="6">
        <v>23532</v>
      </c>
      <c r="H11" s="9">
        <v>400044</v>
      </c>
      <c r="I11" s="8">
        <v>362679.89</v>
      </c>
      <c r="J11" s="7" t="s">
        <v>91</v>
      </c>
      <c r="K11" s="6"/>
      <c r="L11" s="6"/>
    </row>
    <row r="12" s="1" customFormat="1" ht="209" customHeight="1" spans="1:12">
      <c r="A12" s="6">
        <v>8</v>
      </c>
      <c r="B12" s="6" t="s">
        <v>69</v>
      </c>
      <c r="C12" s="6" t="s">
        <v>88</v>
      </c>
      <c r="D12" s="6" t="s">
        <v>92</v>
      </c>
      <c r="E12" s="6" t="s">
        <v>93</v>
      </c>
      <c r="F12" s="7" t="s">
        <v>94</v>
      </c>
      <c r="G12" s="6">
        <v>78.5</v>
      </c>
      <c r="H12" s="9">
        <v>68687.5</v>
      </c>
      <c r="I12" s="8">
        <v>62272.09</v>
      </c>
      <c r="J12" s="7" t="s">
        <v>95</v>
      </c>
      <c r="K12" s="6"/>
      <c r="L12" s="6"/>
    </row>
    <row r="13" s="1" customFormat="1" ht="100.8" spans="1:12">
      <c r="A13" s="6">
        <v>9</v>
      </c>
      <c r="B13" s="6" t="s">
        <v>69</v>
      </c>
      <c r="C13" s="6" t="s">
        <v>88</v>
      </c>
      <c r="D13" s="6" t="s">
        <v>96</v>
      </c>
      <c r="E13" s="6" t="s">
        <v>97</v>
      </c>
      <c r="F13" s="7" t="s">
        <v>98</v>
      </c>
      <c r="G13" s="6">
        <v>1839</v>
      </c>
      <c r="H13" s="9">
        <v>66447</v>
      </c>
      <c r="I13" s="8">
        <v>60240.85</v>
      </c>
      <c r="J13" s="7" t="s">
        <v>99</v>
      </c>
      <c r="K13" s="6"/>
      <c r="L13" s="6"/>
    </row>
    <row r="14" s="1" customFormat="1" ht="86.4" spans="1:12">
      <c r="A14" s="6">
        <v>10</v>
      </c>
      <c r="B14" s="6" t="s">
        <v>69</v>
      </c>
      <c r="C14" s="6" t="s">
        <v>88</v>
      </c>
      <c r="D14" s="6" t="s">
        <v>100</v>
      </c>
      <c r="E14" s="6" t="s">
        <v>101</v>
      </c>
      <c r="F14" s="7" t="s">
        <v>102</v>
      </c>
      <c r="G14" s="6">
        <v>11188</v>
      </c>
      <c r="H14" s="8">
        <v>50342.85</v>
      </c>
      <c r="I14" s="8">
        <v>45640.83</v>
      </c>
      <c r="J14" s="7" t="s">
        <v>103</v>
      </c>
      <c r="K14" s="6"/>
      <c r="L14" s="6"/>
    </row>
    <row r="15" s="1" customFormat="1" ht="86.4" spans="1:12">
      <c r="A15" s="6">
        <v>11</v>
      </c>
      <c r="B15" s="6" t="s">
        <v>69</v>
      </c>
      <c r="C15" s="6" t="s">
        <v>88</v>
      </c>
      <c r="D15" s="6" t="s">
        <v>104</v>
      </c>
      <c r="E15" s="6" t="s">
        <v>97</v>
      </c>
      <c r="F15" s="7" t="s">
        <v>105</v>
      </c>
      <c r="G15" s="6">
        <v>1615</v>
      </c>
      <c r="H15" s="9">
        <v>29070</v>
      </c>
      <c r="I15" s="8">
        <v>26354.86</v>
      </c>
      <c r="J15" s="7" t="s">
        <v>106</v>
      </c>
      <c r="K15" s="6"/>
      <c r="L15" s="6"/>
    </row>
    <row r="16" s="1" customFormat="1" ht="185" customHeight="1" spans="1:12">
      <c r="A16" s="6">
        <v>12</v>
      </c>
      <c r="B16" s="6" t="s">
        <v>69</v>
      </c>
      <c r="C16" s="6" t="s">
        <v>88</v>
      </c>
      <c r="D16" s="6" t="s">
        <v>107</v>
      </c>
      <c r="E16" s="6" t="s">
        <v>108</v>
      </c>
      <c r="F16" s="7" t="s">
        <v>109</v>
      </c>
      <c r="G16" s="6">
        <v>2103</v>
      </c>
      <c r="H16" s="8">
        <v>23133</v>
      </c>
      <c r="I16" s="8">
        <v>20972.38</v>
      </c>
      <c r="J16" s="7" t="s">
        <v>110</v>
      </c>
      <c r="K16" s="6"/>
      <c r="L16" s="6"/>
    </row>
    <row r="17" s="1" customFormat="1" ht="189" customHeight="1" spans="1:12">
      <c r="A17" s="6">
        <v>13</v>
      </c>
      <c r="B17" s="6" t="s">
        <v>69</v>
      </c>
      <c r="C17" s="6" t="s">
        <v>88</v>
      </c>
      <c r="D17" s="6" t="s">
        <v>111</v>
      </c>
      <c r="E17" s="6" t="s">
        <v>97</v>
      </c>
      <c r="F17" s="7" t="s">
        <v>112</v>
      </c>
      <c r="G17" s="6">
        <v>765</v>
      </c>
      <c r="H17" s="8">
        <v>20655</v>
      </c>
      <c r="I17" s="8">
        <v>18725.82</v>
      </c>
      <c r="J17" s="7" t="s">
        <v>113</v>
      </c>
      <c r="K17" s="6"/>
      <c r="L17" s="6"/>
    </row>
    <row r="18" ht="100.8" spans="1:12">
      <c r="A18" s="6">
        <v>14</v>
      </c>
      <c r="B18" s="6" t="s">
        <v>69</v>
      </c>
      <c r="C18" s="6" t="s">
        <v>88</v>
      </c>
      <c r="D18" s="6" t="s">
        <v>114</v>
      </c>
      <c r="E18" s="6" t="s">
        <v>115</v>
      </c>
      <c r="F18" s="7" t="s">
        <v>116</v>
      </c>
      <c r="G18" s="6">
        <v>2095.6</v>
      </c>
      <c r="H18" s="8">
        <v>18860.4</v>
      </c>
      <c r="I18" s="8">
        <v>17098.84</v>
      </c>
      <c r="J18" s="7" t="s">
        <v>117</v>
      </c>
      <c r="K18" s="6" t="s">
        <v>118</v>
      </c>
      <c r="L18" s="6"/>
    </row>
    <row r="19" ht="190" customHeight="1" spans="1:12">
      <c r="A19" s="6">
        <v>15</v>
      </c>
      <c r="B19" s="6" t="s">
        <v>69</v>
      </c>
      <c r="C19" s="6" t="s">
        <v>88</v>
      </c>
      <c r="D19" s="6" t="s">
        <v>119</v>
      </c>
      <c r="E19" s="6" t="s">
        <v>120</v>
      </c>
      <c r="F19" s="7" t="s">
        <v>121</v>
      </c>
      <c r="G19" s="6">
        <v>7514</v>
      </c>
      <c r="H19" s="8">
        <v>6762.6</v>
      </c>
      <c r="I19" s="8">
        <v>6130.97</v>
      </c>
      <c r="J19" s="7" t="s">
        <v>122</v>
      </c>
      <c r="K19" s="6"/>
      <c r="L19" s="6"/>
    </row>
    <row r="20" s="1" customFormat="1" ht="192" customHeight="1" spans="1:12">
      <c r="A20" s="6">
        <v>16</v>
      </c>
      <c r="B20" s="6" t="s">
        <v>69</v>
      </c>
      <c r="C20" s="6" t="s">
        <v>88</v>
      </c>
      <c r="D20" s="6" t="s">
        <v>123</v>
      </c>
      <c r="E20" s="6" t="s">
        <v>61</v>
      </c>
      <c r="F20" s="7" t="s">
        <v>124</v>
      </c>
      <c r="G20" s="6">
        <v>1</v>
      </c>
      <c r="H20" s="8">
        <v>990</v>
      </c>
      <c r="I20" s="8">
        <v>897.53</v>
      </c>
      <c r="J20" s="7" t="s">
        <v>125</v>
      </c>
      <c r="K20" s="6"/>
      <c r="L20" s="6"/>
    </row>
    <row r="21" s="1" customFormat="1" ht="138" customHeight="1" spans="1:12">
      <c r="A21" s="6">
        <v>17</v>
      </c>
      <c r="B21" s="6" t="s">
        <v>69</v>
      </c>
      <c r="C21" s="6" t="s">
        <v>88</v>
      </c>
      <c r="D21" s="6" t="s">
        <v>126</v>
      </c>
      <c r="E21" s="6" t="s">
        <v>127</v>
      </c>
      <c r="F21" s="7" t="s">
        <v>128</v>
      </c>
      <c r="G21" s="6">
        <v>0.6</v>
      </c>
      <c r="H21" s="8">
        <v>216.6</v>
      </c>
      <c r="I21" s="8">
        <v>196.37</v>
      </c>
      <c r="J21" s="7" t="s">
        <v>129</v>
      </c>
      <c r="K21" s="6"/>
      <c r="L21" s="6"/>
    </row>
    <row r="22" s="1" customFormat="1" ht="86.4" spans="1:12">
      <c r="A22" s="6">
        <v>18</v>
      </c>
      <c r="B22" s="6" t="s">
        <v>69</v>
      </c>
      <c r="C22" s="6" t="s">
        <v>88</v>
      </c>
      <c r="D22" s="6" t="s">
        <v>130</v>
      </c>
      <c r="E22" s="6" t="s">
        <v>131</v>
      </c>
      <c r="F22" s="6" t="s">
        <v>132</v>
      </c>
      <c r="G22" s="10">
        <v>2</v>
      </c>
      <c r="H22" s="6">
        <v>126</v>
      </c>
      <c r="I22" s="8">
        <v>114.23</v>
      </c>
      <c r="J22" s="7" t="s">
        <v>133</v>
      </c>
      <c r="K22" s="6"/>
      <c r="L22" s="6"/>
    </row>
    <row r="23" s="1" customFormat="1" ht="86.4" spans="1:12">
      <c r="A23" s="6">
        <v>19</v>
      </c>
      <c r="B23" s="6" t="s">
        <v>69</v>
      </c>
      <c r="C23" s="6" t="s">
        <v>134</v>
      </c>
      <c r="D23" s="6" t="s">
        <v>135</v>
      </c>
      <c r="E23" s="6" t="s">
        <v>136</v>
      </c>
      <c r="F23" s="7" t="s">
        <v>137</v>
      </c>
      <c r="G23" s="6">
        <v>36036</v>
      </c>
      <c r="H23" s="8">
        <v>180180</v>
      </c>
      <c r="I23" s="8">
        <v>163351.19</v>
      </c>
      <c r="J23" s="7" t="s">
        <v>138</v>
      </c>
      <c r="K23" s="6"/>
      <c r="L23" s="6"/>
    </row>
    <row r="24" s="1" customFormat="1" ht="86.4" spans="1:12">
      <c r="A24" s="6">
        <v>20</v>
      </c>
      <c r="B24" s="6" t="s">
        <v>69</v>
      </c>
      <c r="C24" s="6" t="s">
        <v>134</v>
      </c>
      <c r="D24" s="6" t="s">
        <v>139</v>
      </c>
      <c r="E24" s="6" t="s">
        <v>140</v>
      </c>
      <c r="F24" s="7" t="s">
        <v>141</v>
      </c>
      <c r="G24" s="6">
        <v>2994</v>
      </c>
      <c r="H24" s="9">
        <v>38896</v>
      </c>
      <c r="I24" s="8">
        <v>35263.11</v>
      </c>
      <c r="J24" s="7" t="s">
        <v>142</v>
      </c>
      <c r="K24" s="6"/>
      <c r="L24" s="6"/>
    </row>
    <row r="25" s="1" customFormat="1" ht="154" customHeight="1" spans="1:12">
      <c r="A25" s="6">
        <v>21</v>
      </c>
      <c r="B25" s="6" t="s">
        <v>69</v>
      </c>
      <c r="C25" s="6" t="s">
        <v>134</v>
      </c>
      <c r="D25" s="6" t="s">
        <v>143</v>
      </c>
      <c r="E25" s="6" t="s">
        <v>97</v>
      </c>
      <c r="F25" s="7" t="s">
        <v>144</v>
      </c>
      <c r="G25" s="6">
        <v>73</v>
      </c>
      <c r="H25" s="8">
        <v>9198</v>
      </c>
      <c r="I25" s="8">
        <v>8338.91</v>
      </c>
      <c r="J25" s="7" t="s">
        <v>145</v>
      </c>
      <c r="K25" s="6"/>
      <c r="L25" s="6"/>
    </row>
    <row r="26" ht="129.6" spans="1:12">
      <c r="A26" s="6">
        <v>22</v>
      </c>
      <c r="B26" s="6" t="s">
        <v>69</v>
      </c>
      <c r="C26" s="6" t="s">
        <v>134</v>
      </c>
      <c r="D26" s="6" t="s">
        <v>146</v>
      </c>
      <c r="E26" s="6" t="s">
        <v>147</v>
      </c>
      <c r="F26" s="7" t="s">
        <v>148</v>
      </c>
      <c r="G26" s="6">
        <v>242.7</v>
      </c>
      <c r="H26" s="8">
        <v>5490.15</v>
      </c>
      <c r="I26" s="8">
        <v>4977.37</v>
      </c>
      <c r="J26" s="7" t="s">
        <v>149</v>
      </c>
      <c r="K26" s="6" t="s">
        <v>150</v>
      </c>
      <c r="L26" s="6" t="s">
        <v>151</v>
      </c>
    </row>
    <row r="27" s="1" customFormat="1" ht="223" customHeight="1" spans="1:12">
      <c r="A27" s="6">
        <v>23</v>
      </c>
      <c r="B27" s="6" t="s">
        <v>69</v>
      </c>
      <c r="C27" s="6" t="s">
        <v>134</v>
      </c>
      <c r="D27" s="6" t="s">
        <v>152</v>
      </c>
      <c r="E27" s="6" t="s">
        <v>153</v>
      </c>
      <c r="F27" s="7" t="s">
        <v>154</v>
      </c>
      <c r="G27" s="6">
        <v>138.8</v>
      </c>
      <c r="H27" s="8">
        <v>5430.12</v>
      </c>
      <c r="I27" s="8">
        <v>4922.95</v>
      </c>
      <c r="J27" s="7" t="s">
        <v>155</v>
      </c>
      <c r="K27" s="6"/>
      <c r="L27" s="6"/>
    </row>
    <row r="28" s="1" customFormat="1" ht="113" customHeight="1" spans="1:12">
      <c r="A28" s="6">
        <v>24</v>
      </c>
      <c r="B28" s="6" t="s">
        <v>69</v>
      </c>
      <c r="C28" s="6" t="s">
        <v>134</v>
      </c>
      <c r="D28" s="6" t="s">
        <v>156</v>
      </c>
      <c r="E28" s="6" t="s">
        <v>80</v>
      </c>
      <c r="F28" s="7" t="s">
        <v>157</v>
      </c>
      <c r="G28" s="6">
        <v>87</v>
      </c>
      <c r="H28" s="8">
        <v>4004</v>
      </c>
      <c r="I28" s="8">
        <v>3630.03</v>
      </c>
      <c r="J28" s="7" t="s">
        <v>158</v>
      </c>
      <c r="K28" s="6" t="s">
        <v>159</v>
      </c>
      <c r="L28" s="6" t="s">
        <v>160</v>
      </c>
    </row>
    <row r="29" ht="185" customHeight="1" spans="1:12">
      <c r="A29" s="6">
        <v>25</v>
      </c>
      <c r="B29" s="6" t="s">
        <v>69</v>
      </c>
      <c r="C29" s="6" t="s">
        <v>134</v>
      </c>
      <c r="D29" s="6" t="s">
        <v>161</v>
      </c>
      <c r="E29" s="6" t="s">
        <v>97</v>
      </c>
      <c r="F29" s="7" t="s">
        <v>162</v>
      </c>
      <c r="G29" s="6">
        <v>70</v>
      </c>
      <c r="H29" s="8">
        <v>3430</v>
      </c>
      <c r="I29" s="8">
        <v>3109.64</v>
      </c>
      <c r="J29" s="7" t="s">
        <v>163</v>
      </c>
      <c r="K29" s="6"/>
      <c r="L29" s="6"/>
    </row>
    <row r="30" s="1" customFormat="1" ht="243" customHeight="1" spans="1:12">
      <c r="A30" s="6">
        <v>26</v>
      </c>
      <c r="B30" s="6" t="s">
        <v>69</v>
      </c>
      <c r="C30" s="6" t="s">
        <v>134</v>
      </c>
      <c r="D30" s="6" t="s">
        <v>164</v>
      </c>
      <c r="E30" s="6" t="s">
        <v>127</v>
      </c>
      <c r="F30" s="7" t="s">
        <v>165</v>
      </c>
      <c r="G30" s="6">
        <v>2</v>
      </c>
      <c r="H30" s="8">
        <v>249</v>
      </c>
      <c r="I30" s="8">
        <v>225.74</v>
      </c>
      <c r="J30" s="7" t="s">
        <v>166</v>
      </c>
      <c r="K30" s="6"/>
      <c r="L30" s="6"/>
    </row>
    <row r="31" s="1" customFormat="1" ht="316" customHeight="1" spans="1:12">
      <c r="A31" s="6">
        <v>27</v>
      </c>
      <c r="B31" s="6" t="s">
        <v>69</v>
      </c>
      <c r="C31" s="6" t="s">
        <v>167</v>
      </c>
      <c r="D31" s="6" t="s">
        <v>168</v>
      </c>
      <c r="E31" s="6" t="s">
        <v>169</v>
      </c>
      <c r="F31" s="7" t="s">
        <v>170</v>
      </c>
      <c r="G31" s="6">
        <v>5515</v>
      </c>
      <c r="H31" s="8">
        <v>236778.59</v>
      </c>
      <c r="I31" s="8">
        <v>214663.47</v>
      </c>
      <c r="J31" s="7" t="s">
        <v>171</v>
      </c>
      <c r="K31" s="6"/>
      <c r="L31" s="6"/>
    </row>
    <row r="32" s="1" customFormat="1" ht="186" customHeight="1" spans="1:12">
      <c r="A32" s="6">
        <v>28</v>
      </c>
      <c r="B32" s="6" t="s">
        <v>69</v>
      </c>
      <c r="C32" s="6" t="s">
        <v>167</v>
      </c>
      <c r="D32" s="6" t="s">
        <v>172</v>
      </c>
      <c r="E32" s="6" t="s">
        <v>173</v>
      </c>
      <c r="F32" s="7" t="s">
        <v>174</v>
      </c>
      <c r="G32" s="6">
        <v>4436</v>
      </c>
      <c r="H32" s="8">
        <v>226236</v>
      </c>
      <c r="I32" s="8">
        <v>205105.56</v>
      </c>
      <c r="J32" s="7" t="s">
        <v>175</v>
      </c>
      <c r="K32" s="6"/>
      <c r="L32" s="6"/>
    </row>
    <row r="33" s="1" customFormat="1" ht="266" customHeight="1" spans="1:12">
      <c r="A33" s="6">
        <v>29</v>
      </c>
      <c r="B33" s="6" t="s">
        <v>69</v>
      </c>
      <c r="C33" s="6" t="s">
        <v>167</v>
      </c>
      <c r="D33" s="6" t="s">
        <v>176</v>
      </c>
      <c r="E33" s="6" t="s">
        <v>177</v>
      </c>
      <c r="F33" s="7" t="s">
        <v>178</v>
      </c>
      <c r="G33" s="6">
        <v>2419</v>
      </c>
      <c r="H33" s="8">
        <v>89215.89</v>
      </c>
      <c r="I33" s="8">
        <v>80883.13</v>
      </c>
      <c r="J33" s="7" t="s">
        <v>179</v>
      </c>
      <c r="K33" s="6" t="s">
        <v>180</v>
      </c>
      <c r="L33" s="6"/>
    </row>
    <row r="34" s="1" customFormat="1" ht="264" customHeight="1" spans="1:12">
      <c r="A34" s="6">
        <v>30</v>
      </c>
      <c r="B34" s="6" t="s">
        <v>69</v>
      </c>
      <c r="C34" s="6" t="s">
        <v>167</v>
      </c>
      <c r="D34" s="6" t="s">
        <v>181</v>
      </c>
      <c r="E34" s="6" t="s">
        <v>177</v>
      </c>
      <c r="F34" s="7" t="s">
        <v>182</v>
      </c>
      <c r="G34" s="6">
        <v>6475</v>
      </c>
      <c r="H34" s="8">
        <v>84942.75</v>
      </c>
      <c r="I34" s="8">
        <v>77009.1</v>
      </c>
      <c r="J34" s="7" t="s">
        <v>183</v>
      </c>
      <c r="K34" s="6"/>
      <c r="L34" s="6" t="s">
        <v>184</v>
      </c>
    </row>
    <row r="35" s="1" customFormat="1" ht="131" customHeight="1" spans="1:12">
      <c r="A35" s="6">
        <v>31</v>
      </c>
      <c r="B35" s="6" t="s">
        <v>69</v>
      </c>
      <c r="C35" s="6" t="s">
        <v>167</v>
      </c>
      <c r="D35" s="6" t="s">
        <v>185</v>
      </c>
      <c r="E35" s="6" t="s">
        <v>177</v>
      </c>
      <c r="F35" s="7" t="s">
        <v>186</v>
      </c>
      <c r="G35" s="6">
        <v>665</v>
      </c>
      <c r="H35" s="8">
        <v>73150</v>
      </c>
      <c r="I35" s="8">
        <v>66317.79</v>
      </c>
      <c r="J35" s="7" t="s">
        <v>187</v>
      </c>
      <c r="K35" s="6" t="s">
        <v>188</v>
      </c>
      <c r="L35" s="6"/>
    </row>
    <row r="36" s="1" customFormat="1" ht="174" customHeight="1" spans="1:12">
      <c r="A36" s="6">
        <v>32</v>
      </c>
      <c r="B36" s="6" t="s">
        <v>69</v>
      </c>
      <c r="C36" s="6" t="s">
        <v>167</v>
      </c>
      <c r="D36" s="6" t="s">
        <v>189</v>
      </c>
      <c r="E36" s="6" t="s">
        <v>190</v>
      </c>
      <c r="F36" s="7" t="s">
        <v>191</v>
      </c>
      <c r="G36" s="6">
        <v>2588</v>
      </c>
      <c r="H36" s="9">
        <v>67288</v>
      </c>
      <c r="I36" s="8">
        <v>61003.3</v>
      </c>
      <c r="J36" s="7" t="s">
        <v>192</v>
      </c>
      <c r="K36" s="6"/>
      <c r="L36" s="6"/>
    </row>
    <row r="37" s="1" customFormat="1" ht="239" customHeight="1" spans="1:12">
      <c r="A37" s="6">
        <v>33</v>
      </c>
      <c r="B37" s="6" t="s">
        <v>69</v>
      </c>
      <c r="C37" s="6" t="s">
        <v>167</v>
      </c>
      <c r="D37" s="6" t="s">
        <v>193</v>
      </c>
      <c r="E37" s="6" t="s">
        <v>177</v>
      </c>
      <c r="F37" s="7" t="s">
        <v>194</v>
      </c>
      <c r="G37" s="6">
        <v>3951</v>
      </c>
      <c r="H37" s="8">
        <v>66479.59</v>
      </c>
      <c r="I37" s="8">
        <v>60270.4</v>
      </c>
      <c r="J37" s="7" t="s">
        <v>195</v>
      </c>
      <c r="K37" s="6"/>
      <c r="L37" s="6" t="s">
        <v>196</v>
      </c>
    </row>
    <row r="38" s="1" customFormat="1" ht="143" customHeight="1" spans="1:12">
      <c r="A38" s="6">
        <v>34</v>
      </c>
      <c r="B38" s="6" t="s">
        <v>69</v>
      </c>
      <c r="C38" s="6" t="s">
        <v>167</v>
      </c>
      <c r="D38" s="6" t="s">
        <v>197</v>
      </c>
      <c r="E38" s="6" t="s">
        <v>177</v>
      </c>
      <c r="F38" s="7" t="s">
        <v>198</v>
      </c>
      <c r="G38" s="6">
        <v>441</v>
      </c>
      <c r="H38" s="8">
        <v>62128</v>
      </c>
      <c r="I38" s="8">
        <v>56325.24</v>
      </c>
      <c r="J38" s="7" t="s">
        <v>199</v>
      </c>
      <c r="K38" s="6" t="s">
        <v>200</v>
      </c>
      <c r="L38" s="6"/>
    </row>
    <row r="39" s="1" customFormat="1" ht="375" customHeight="1" spans="1:12">
      <c r="A39" s="6">
        <v>35</v>
      </c>
      <c r="B39" s="6" t="s">
        <v>69</v>
      </c>
      <c r="C39" s="6" t="s">
        <v>167</v>
      </c>
      <c r="D39" s="6" t="s">
        <v>201</v>
      </c>
      <c r="E39" s="6" t="s">
        <v>177</v>
      </c>
      <c r="F39" s="7" t="s">
        <v>202</v>
      </c>
      <c r="G39" s="6">
        <v>610</v>
      </c>
      <c r="H39" s="8">
        <v>61000</v>
      </c>
      <c r="I39" s="8">
        <v>55302.6</v>
      </c>
      <c r="J39" s="7" t="s">
        <v>203</v>
      </c>
      <c r="K39" s="6"/>
      <c r="L39" s="6"/>
    </row>
    <row r="40" s="1" customFormat="1" ht="275" customHeight="1" spans="1:12">
      <c r="A40" s="6">
        <v>36</v>
      </c>
      <c r="B40" s="6" t="s">
        <v>69</v>
      </c>
      <c r="C40" s="6" t="s">
        <v>167</v>
      </c>
      <c r="D40" s="6" t="s">
        <v>204</v>
      </c>
      <c r="E40" s="6" t="s">
        <v>177</v>
      </c>
      <c r="F40" s="7" t="s">
        <v>205</v>
      </c>
      <c r="G40" s="6">
        <v>2596</v>
      </c>
      <c r="H40" s="8">
        <v>59934.06</v>
      </c>
      <c r="I40" s="8">
        <v>54336.22</v>
      </c>
      <c r="J40" s="7" t="s">
        <v>206</v>
      </c>
      <c r="K40" s="6"/>
      <c r="L40" s="6" t="s">
        <v>207</v>
      </c>
    </row>
    <row r="41" s="1" customFormat="1" ht="269" customHeight="1" spans="1:12">
      <c r="A41" s="6">
        <v>37</v>
      </c>
      <c r="B41" s="6" t="s">
        <v>69</v>
      </c>
      <c r="C41" s="6" t="s">
        <v>167</v>
      </c>
      <c r="D41" s="6" t="s">
        <v>208</v>
      </c>
      <c r="E41" s="6" t="s">
        <v>177</v>
      </c>
      <c r="F41" s="7" t="s">
        <v>209</v>
      </c>
      <c r="G41" s="6">
        <v>3623</v>
      </c>
      <c r="H41" s="8">
        <v>54309</v>
      </c>
      <c r="I41" s="8">
        <v>49236.54</v>
      </c>
      <c r="J41" s="7" t="s">
        <v>210</v>
      </c>
      <c r="K41" s="6" t="s">
        <v>211</v>
      </c>
      <c r="L41" s="6"/>
    </row>
    <row r="42" ht="181" customHeight="1" spans="1:12">
      <c r="A42" s="6">
        <v>38</v>
      </c>
      <c r="B42" s="6" t="s">
        <v>69</v>
      </c>
      <c r="C42" s="6" t="s">
        <v>167</v>
      </c>
      <c r="D42" s="6" t="s">
        <v>212</v>
      </c>
      <c r="E42" s="6" t="s">
        <v>213</v>
      </c>
      <c r="F42" s="7" t="s">
        <v>214</v>
      </c>
      <c r="G42" s="6">
        <v>799</v>
      </c>
      <c r="H42" s="9">
        <v>44937</v>
      </c>
      <c r="I42" s="8">
        <v>40739.88</v>
      </c>
      <c r="J42" s="7" t="s">
        <v>215</v>
      </c>
      <c r="K42" s="6" t="s">
        <v>216</v>
      </c>
      <c r="L42" s="6"/>
    </row>
    <row r="43" s="1" customFormat="1" ht="258" customHeight="1" spans="1:12">
      <c r="A43" s="6">
        <v>39</v>
      </c>
      <c r="B43" s="6" t="s">
        <v>69</v>
      </c>
      <c r="C43" s="6" t="s">
        <v>167</v>
      </c>
      <c r="D43" s="6" t="s">
        <v>217</v>
      </c>
      <c r="E43" s="6" t="s">
        <v>177</v>
      </c>
      <c r="F43" s="7" t="s">
        <v>218</v>
      </c>
      <c r="G43" s="6">
        <v>968</v>
      </c>
      <c r="H43" s="8">
        <v>37162.8</v>
      </c>
      <c r="I43" s="8">
        <v>33691.79</v>
      </c>
      <c r="J43" s="7" t="s">
        <v>219</v>
      </c>
      <c r="K43" s="6" t="s">
        <v>220</v>
      </c>
      <c r="L43" s="6" t="s">
        <v>221</v>
      </c>
    </row>
    <row r="44" s="1" customFormat="1" ht="231" customHeight="1" spans="1:12">
      <c r="A44" s="6">
        <v>40</v>
      </c>
      <c r="B44" s="6" t="s">
        <v>69</v>
      </c>
      <c r="C44" s="6" t="s">
        <v>167</v>
      </c>
      <c r="D44" s="6" t="s">
        <v>222</v>
      </c>
      <c r="E44" s="6" t="s">
        <v>177</v>
      </c>
      <c r="F44" s="7" t="s">
        <v>223</v>
      </c>
      <c r="G44" s="6">
        <v>3649</v>
      </c>
      <c r="H44" s="8">
        <v>34247</v>
      </c>
      <c r="I44" s="8">
        <v>31048.33</v>
      </c>
      <c r="J44" s="7" t="s">
        <v>224</v>
      </c>
      <c r="K44" s="6" t="s">
        <v>225</v>
      </c>
      <c r="L44" s="6" t="s">
        <v>226</v>
      </c>
    </row>
    <row r="45" s="1" customFormat="1" ht="150" customHeight="1" spans="1:12">
      <c r="A45" s="6">
        <v>41</v>
      </c>
      <c r="B45" s="6" t="s">
        <v>69</v>
      </c>
      <c r="C45" s="6" t="s">
        <v>167</v>
      </c>
      <c r="D45" s="6" t="s">
        <v>227</v>
      </c>
      <c r="E45" s="6" t="s">
        <v>228</v>
      </c>
      <c r="F45" s="7" t="s">
        <v>229</v>
      </c>
      <c r="G45" s="6">
        <v>4616.5</v>
      </c>
      <c r="H45" s="8">
        <v>18466</v>
      </c>
      <c r="I45" s="8">
        <v>16741.28</v>
      </c>
      <c r="J45" s="7" t="s">
        <v>230</v>
      </c>
      <c r="K45" s="6"/>
      <c r="L45" s="6"/>
    </row>
    <row r="46" s="1" customFormat="1" ht="291" customHeight="1" spans="1:12">
      <c r="A46" s="6">
        <v>42</v>
      </c>
      <c r="B46" s="6" t="s">
        <v>69</v>
      </c>
      <c r="C46" s="6" t="s">
        <v>167</v>
      </c>
      <c r="D46" s="6" t="s">
        <v>231</v>
      </c>
      <c r="E46" s="6" t="s">
        <v>232</v>
      </c>
      <c r="F46" s="7" t="s">
        <v>233</v>
      </c>
      <c r="G46" s="6">
        <v>179</v>
      </c>
      <c r="H46" s="8">
        <v>15923.7</v>
      </c>
      <c r="I46" s="8">
        <v>14436.43</v>
      </c>
      <c r="J46" s="7" t="s">
        <v>234</v>
      </c>
      <c r="K46" s="6"/>
      <c r="L46" s="6"/>
    </row>
    <row r="47" s="1" customFormat="1" ht="233" customHeight="1" spans="1:12">
      <c r="A47" s="6">
        <v>43</v>
      </c>
      <c r="B47" s="6" t="s">
        <v>69</v>
      </c>
      <c r="C47" s="6" t="s">
        <v>167</v>
      </c>
      <c r="D47" s="6" t="s">
        <v>235</v>
      </c>
      <c r="E47" s="6" t="s">
        <v>213</v>
      </c>
      <c r="F47" s="7" t="s">
        <v>236</v>
      </c>
      <c r="G47" s="6">
        <v>197</v>
      </c>
      <c r="H47" s="9">
        <v>12411.36</v>
      </c>
      <c r="I47" s="8">
        <v>11252.14</v>
      </c>
      <c r="J47" s="7" t="s">
        <v>237</v>
      </c>
      <c r="K47" s="6"/>
      <c r="L47" s="6"/>
    </row>
    <row r="48" s="1" customFormat="1" ht="150" customHeight="1" spans="1:12">
      <c r="A48" s="6">
        <v>44</v>
      </c>
      <c r="B48" s="6" t="s">
        <v>69</v>
      </c>
      <c r="C48" s="6" t="s">
        <v>167</v>
      </c>
      <c r="D48" s="6" t="s">
        <v>238</v>
      </c>
      <c r="E48" s="6" t="s">
        <v>213</v>
      </c>
      <c r="F48" s="7" t="s">
        <v>239</v>
      </c>
      <c r="G48" s="6">
        <v>203</v>
      </c>
      <c r="H48" s="8">
        <v>11142.18</v>
      </c>
      <c r="I48" s="8">
        <v>10101.5</v>
      </c>
      <c r="J48" s="7" t="s">
        <v>240</v>
      </c>
      <c r="K48" s="6" t="s">
        <v>241</v>
      </c>
      <c r="L48" s="6"/>
    </row>
    <row r="49" s="1" customFormat="1" ht="150" customHeight="1" spans="1:12">
      <c r="A49" s="6">
        <v>45</v>
      </c>
      <c r="B49" s="6" t="s">
        <v>69</v>
      </c>
      <c r="C49" s="6" t="s">
        <v>167</v>
      </c>
      <c r="D49" s="6" t="s">
        <v>242</v>
      </c>
      <c r="E49" s="6" t="s">
        <v>213</v>
      </c>
      <c r="F49" s="7" t="s">
        <v>243</v>
      </c>
      <c r="G49" s="6">
        <v>249</v>
      </c>
      <c r="H49" s="8">
        <v>11123.6</v>
      </c>
      <c r="I49" s="8">
        <v>10084.66</v>
      </c>
      <c r="J49" s="7" t="s">
        <v>215</v>
      </c>
      <c r="K49" s="6" t="s">
        <v>216</v>
      </c>
      <c r="L49" s="6"/>
    </row>
    <row r="50" s="1" customFormat="1" ht="151" customHeight="1" spans="1:12">
      <c r="A50" s="6">
        <v>46</v>
      </c>
      <c r="B50" s="6" t="s">
        <v>69</v>
      </c>
      <c r="C50" s="6" t="s">
        <v>167</v>
      </c>
      <c r="D50" s="6" t="s">
        <v>244</v>
      </c>
      <c r="E50" s="6" t="s">
        <v>213</v>
      </c>
      <c r="F50" s="7" t="s">
        <v>245</v>
      </c>
      <c r="G50" s="6">
        <v>249</v>
      </c>
      <c r="H50" s="9">
        <v>11051.6</v>
      </c>
      <c r="I50" s="8">
        <v>10019.38</v>
      </c>
      <c r="J50" s="7" t="s">
        <v>246</v>
      </c>
      <c r="K50" s="6" t="s">
        <v>247</v>
      </c>
      <c r="L50" s="6"/>
    </row>
    <row r="51" s="1" customFormat="1" ht="189" customHeight="1" spans="1:12">
      <c r="A51" s="6">
        <v>47</v>
      </c>
      <c r="B51" s="6" t="s">
        <v>69</v>
      </c>
      <c r="C51" s="6" t="s">
        <v>167</v>
      </c>
      <c r="D51" s="6" t="s">
        <v>248</v>
      </c>
      <c r="E51" s="6" t="s">
        <v>85</v>
      </c>
      <c r="F51" s="7" t="s">
        <v>249</v>
      </c>
      <c r="G51" s="6">
        <v>272</v>
      </c>
      <c r="H51" s="8">
        <v>10336</v>
      </c>
      <c r="I51" s="8">
        <v>9370.62</v>
      </c>
      <c r="J51" s="7" t="s">
        <v>250</v>
      </c>
      <c r="K51" s="6"/>
      <c r="L51" s="6"/>
    </row>
    <row r="52" ht="115.2" spans="1:12">
      <c r="A52" s="6">
        <v>48</v>
      </c>
      <c r="B52" s="6" t="s">
        <v>69</v>
      </c>
      <c r="C52" s="6" t="s">
        <v>167</v>
      </c>
      <c r="D52" s="6" t="s">
        <v>251</v>
      </c>
      <c r="E52" s="6" t="s">
        <v>213</v>
      </c>
      <c r="F52" s="7" t="s">
        <v>252</v>
      </c>
      <c r="G52" s="6">
        <v>174</v>
      </c>
      <c r="H52" s="8">
        <v>7328.7</v>
      </c>
      <c r="I52" s="8">
        <v>6644.2</v>
      </c>
      <c r="J52" s="7" t="s">
        <v>253</v>
      </c>
      <c r="K52" s="6"/>
      <c r="L52" s="6"/>
    </row>
    <row r="53" s="1" customFormat="1" ht="158.4" spans="1:12">
      <c r="A53" s="6">
        <v>49</v>
      </c>
      <c r="B53" s="6" t="s">
        <v>69</v>
      </c>
      <c r="C53" s="6" t="s">
        <v>167</v>
      </c>
      <c r="D53" s="6" t="s">
        <v>254</v>
      </c>
      <c r="E53" s="6" t="s">
        <v>255</v>
      </c>
      <c r="F53" s="7" t="s">
        <v>256</v>
      </c>
      <c r="G53" s="6">
        <v>32</v>
      </c>
      <c r="H53" s="8">
        <v>7058.8</v>
      </c>
      <c r="I53" s="8">
        <v>6399.5</v>
      </c>
      <c r="J53" s="7" t="s">
        <v>257</v>
      </c>
      <c r="K53" s="6" t="s">
        <v>258</v>
      </c>
      <c r="L53" s="6"/>
    </row>
    <row r="54" ht="239" customHeight="1" spans="1:12">
      <c r="A54" s="6">
        <v>50</v>
      </c>
      <c r="B54" s="6" t="s">
        <v>69</v>
      </c>
      <c r="C54" s="6" t="s">
        <v>167</v>
      </c>
      <c r="D54" s="6" t="s">
        <v>259</v>
      </c>
      <c r="E54" s="6" t="s">
        <v>213</v>
      </c>
      <c r="F54" s="7" t="s">
        <v>260</v>
      </c>
      <c r="G54" s="6">
        <v>86</v>
      </c>
      <c r="H54" s="8">
        <v>3571.2</v>
      </c>
      <c r="I54" s="8">
        <v>3237.65</v>
      </c>
      <c r="J54" s="7" t="s">
        <v>261</v>
      </c>
      <c r="K54" s="6"/>
      <c r="L54" s="6"/>
    </row>
    <row r="55" s="1" customFormat="1" ht="147" customHeight="1" spans="1:12">
      <c r="A55" s="6">
        <v>51</v>
      </c>
      <c r="B55" s="6" t="s">
        <v>69</v>
      </c>
      <c r="C55" s="6" t="s">
        <v>167</v>
      </c>
      <c r="D55" s="6" t="s">
        <v>262</v>
      </c>
      <c r="E55" s="6" t="s">
        <v>263</v>
      </c>
      <c r="F55" s="7" t="s">
        <v>264</v>
      </c>
      <c r="G55" s="6">
        <v>71</v>
      </c>
      <c r="H55" s="8">
        <v>994</v>
      </c>
      <c r="I55" s="8">
        <v>901.16</v>
      </c>
      <c r="J55" s="7" t="s">
        <v>265</v>
      </c>
      <c r="K55" s="6" t="s">
        <v>266</v>
      </c>
      <c r="L55" s="6"/>
    </row>
    <row r="56" s="1" customFormat="1" ht="167" customHeight="1" spans="1:12">
      <c r="A56" s="6">
        <v>52</v>
      </c>
      <c r="B56" s="6" t="s">
        <v>69</v>
      </c>
      <c r="C56" s="6" t="s">
        <v>167</v>
      </c>
      <c r="D56" s="6" t="s">
        <v>267</v>
      </c>
      <c r="E56" s="6" t="s">
        <v>85</v>
      </c>
      <c r="F56" s="7" t="s">
        <v>268</v>
      </c>
      <c r="G56" s="6">
        <v>1</v>
      </c>
      <c r="H56" s="8">
        <v>666.62</v>
      </c>
      <c r="I56" s="8">
        <v>604.36</v>
      </c>
      <c r="J56" s="7" t="s">
        <v>269</v>
      </c>
      <c r="K56" s="6"/>
      <c r="L56" s="6" t="s">
        <v>270</v>
      </c>
    </row>
    <row r="57" ht="102" customHeight="1" spans="1:12">
      <c r="A57" s="6">
        <v>53</v>
      </c>
      <c r="B57" s="6" t="s">
        <v>69</v>
      </c>
      <c r="C57" s="6" t="s">
        <v>167</v>
      </c>
      <c r="D57" s="6" t="s">
        <v>271</v>
      </c>
      <c r="E57" s="6" t="s">
        <v>85</v>
      </c>
      <c r="F57" s="7" t="s">
        <v>272</v>
      </c>
      <c r="G57" s="6">
        <v>1</v>
      </c>
      <c r="H57" s="8">
        <v>282</v>
      </c>
      <c r="I57" s="8">
        <v>255.66</v>
      </c>
      <c r="J57" s="7" t="s">
        <v>273</v>
      </c>
      <c r="K57" s="6"/>
      <c r="L57" s="6"/>
    </row>
    <row r="58" ht="196" customHeight="1" spans="1:12">
      <c r="A58" s="6">
        <v>54</v>
      </c>
      <c r="B58" s="6" t="s">
        <v>69</v>
      </c>
      <c r="C58" s="6" t="s">
        <v>274</v>
      </c>
      <c r="D58" s="6" t="s">
        <v>275</v>
      </c>
      <c r="E58" s="6" t="s">
        <v>276</v>
      </c>
      <c r="F58" s="7" t="s">
        <v>277</v>
      </c>
      <c r="G58" s="6">
        <v>5424</v>
      </c>
      <c r="H58" s="8">
        <v>261746.28</v>
      </c>
      <c r="I58" s="8">
        <v>237299.18</v>
      </c>
      <c r="J58" s="7" t="s">
        <v>278</v>
      </c>
      <c r="K58" s="6" t="s">
        <v>279</v>
      </c>
      <c r="L58" s="6"/>
    </row>
    <row r="59" s="1" customFormat="1" ht="191" customHeight="1" spans="1:12">
      <c r="A59" s="6">
        <v>55</v>
      </c>
      <c r="B59" s="6" t="s">
        <v>69</v>
      </c>
      <c r="C59" s="6" t="s">
        <v>274</v>
      </c>
      <c r="D59" s="6" t="s">
        <v>280</v>
      </c>
      <c r="E59" s="6" t="s">
        <v>281</v>
      </c>
      <c r="F59" s="7" t="s">
        <v>282</v>
      </c>
      <c r="G59" s="6">
        <v>4290</v>
      </c>
      <c r="H59" s="8">
        <v>170742</v>
      </c>
      <c r="I59" s="8">
        <v>154794.7</v>
      </c>
      <c r="J59" s="7" t="s">
        <v>283</v>
      </c>
      <c r="K59" s="6" t="s">
        <v>279</v>
      </c>
      <c r="L59" s="6"/>
    </row>
    <row r="60" ht="205" customHeight="1" spans="1:12">
      <c r="A60" s="6">
        <v>56</v>
      </c>
      <c r="B60" s="6" t="s">
        <v>69</v>
      </c>
      <c r="C60" s="6" t="s">
        <v>274</v>
      </c>
      <c r="D60" s="6" t="s">
        <v>284</v>
      </c>
      <c r="E60" s="6" t="s">
        <v>285</v>
      </c>
      <c r="F60" s="7" t="s">
        <v>286</v>
      </c>
      <c r="G60" s="6">
        <v>336</v>
      </c>
      <c r="H60" s="8">
        <v>5678.4</v>
      </c>
      <c r="I60" s="8">
        <v>5148.04</v>
      </c>
      <c r="J60" s="7" t="s">
        <v>287</v>
      </c>
      <c r="K60" s="6" t="s">
        <v>279</v>
      </c>
      <c r="L60" s="6"/>
    </row>
    <row r="61" s="1" customFormat="1" ht="142" customHeight="1" spans="1:12">
      <c r="A61" s="6">
        <v>57</v>
      </c>
      <c r="B61" s="6" t="s">
        <v>69</v>
      </c>
      <c r="C61" s="6" t="s">
        <v>274</v>
      </c>
      <c r="D61" s="6" t="s">
        <v>288</v>
      </c>
      <c r="E61" s="6" t="s">
        <v>131</v>
      </c>
      <c r="F61" s="7" t="s">
        <v>289</v>
      </c>
      <c r="G61" s="6">
        <v>60</v>
      </c>
      <c r="H61" s="8">
        <v>2292</v>
      </c>
      <c r="I61" s="8">
        <v>2077.93</v>
      </c>
      <c r="J61" s="7" t="s">
        <v>290</v>
      </c>
      <c r="K61" s="6" t="s">
        <v>279</v>
      </c>
      <c r="L61" s="6"/>
    </row>
    <row r="62" s="1" customFormat="1" ht="138" customHeight="1" spans="1:12">
      <c r="A62" s="6">
        <v>58</v>
      </c>
      <c r="B62" s="6" t="s">
        <v>69</v>
      </c>
      <c r="C62" s="6" t="s">
        <v>291</v>
      </c>
      <c r="D62" s="6" t="s">
        <v>292</v>
      </c>
      <c r="E62" s="6" t="s">
        <v>293</v>
      </c>
      <c r="F62" s="7" t="s">
        <v>294</v>
      </c>
      <c r="G62" s="6">
        <v>3</v>
      </c>
      <c r="H62" s="8">
        <v>451.92</v>
      </c>
      <c r="I62" s="8">
        <v>409.71</v>
      </c>
      <c r="J62" s="7" t="s">
        <v>295</v>
      </c>
      <c r="K62" s="6"/>
      <c r="L62" s="6"/>
    </row>
    <row r="63" s="1" customFormat="1" ht="119" customHeight="1" spans="1:12">
      <c r="A63" s="6">
        <v>59</v>
      </c>
      <c r="B63" s="6" t="s">
        <v>69</v>
      </c>
      <c r="C63" s="6" t="s">
        <v>296</v>
      </c>
      <c r="D63" s="6" t="s">
        <v>297</v>
      </c>
      <c r="E63" s="6" t="s">
        <v>131</v>
      </c>
      <c r="F63" s="7" t="s">
        <v>298</v>
      </c>
      <c r="G63" s="6">
        <v>9</v>
      </c>
      <c r="H63" s="8">
        <v>7032.44</v>
      </c>
      <c r="I63" s="8">
        <v>6375.61</v>
      </c>
      <c r="J63" s="7" t="s">
        <v>299</v>
      </c>
      <c r="K63" s="6"/>
      <c r="L63" s="6"/>
    </row>
    <row r="64" s="1" customFormat="1" ht="84" customHeight="1" spans="1:12">
      <c r="A64" s="6">
        <v>60</v>
      </c>
      <c r="B64" s="6" t="s">
        <v>300</v>
      </c>
      <c r="C64" s="6" t="s">
        <v>301</v>
      </c>
      <c r="D64" s="6" t="s">
        <v>302</v>
      </c>
      <c r="E64" s="6" t="s">
        <v>303</v>
      </c>
      <c r="F64" s="7" t="s">
        <v>304</v>
      </c>
      <c r="G64" s="10">
        <v>0</v>
      </c>
      <c r="H64" s="6">
        <v>0</v>
      </c>
      <c r="I64" s="8">
        <v>0</v>
      </c>
      <c r="J64" s="7" t="s">
        <v>305</v>
      </c>
      <c r="K64" s="11"/>
      <c r="L64" s="6"/>
    </row>
    <row r="65" s="1" customFormat="1" ht="203" customHeight="1" spans="1:12">
      <c r="A65" s="6">
        <v>61</v>
      </c>
      <c r="B65" s="6" t="s">
        <v>300</v>
      </c>
      <c r="C65" s="6" t="s">
        <v>306</v>
      </c>
      <c r="D65" s="6" t="s">
        <v>143</v>
      </c>
      <c r="E65" s="6" t="s">
        <v>97</v>
      </c>
      <c r="F65" s="7" t="s">
        <v>307</v>
      </c>
      <c r="G65" s="10">
        <v>0</v>
      </c>
      <c r="H65" s="6">
        <v>0</v>
      </c>
      <c r="I65" s="8">
        <v>0</v>
      </c>
      <c r="J65" s="7" t="s">
        <v>308</v>
      </c>
      <c r="K65" s="12"/>
      <c r="L65" s="6"/>
    </row>
    <row r="66" ht="36" customHeight="1" spans="1:12">
      <c r="A66" s="13" t="s">
        <v>37</v>
      </c>
      <c r="B66" s="14"/>
      <c r="C66" s="14"/>
      <c r="D66" s="14"/>
      <c r="E66" s="14"/>
      <c r="F66" s="14"/>
      <c r="G66" s="15"/>
      <c r="H66" s="8">
        <f>SUM(H5:H65)</f>
        <v>2954001.7</v>
      </c>
      <c r="I66" s="16">
        <f>SUM(I5:I65)</f>
        <v>2678097.96</v>
      </c>
      <c r="J66" s="7"/>
      <c r="K66" s="17"/>
      <c r="L66" s="17"/>
    </row>
    <row r="67" ht="34" customHeight="1" spans="1:12">
      <c r="A67" s="18" t="s">
        <v>309</v>
      </c>
      <c r="B67" s="18"/>
      <c r="C67" s="18"/>
      <c r="D67" s="18"/>
      <c r="E67" s="18"/>
      <c r="F67" s="18"/>
      <c r="G67" s="18"/>
      <c r="H67" s="18"/>
      <c r="I67" s="18"/>
      <c r="J67" s="18"/>
      <c r="K67" s="18"/>
      <c r="L67" s="18"/>
    </row>
    <row r="68" ht="119" customHeight="1" spans="1:12">
      <c r="A68" s="19"/>
      <c r="B68" s="19"/>
      <c r="C68" s="19"/>
      <c r="D68" s="19"/>
      <c r="E68" s="19"/>
      <c r="F68" s="19"/>
      <c r="G68" s="19"/>
      <c r="H68" s="19"/>
      <c r="I68" s="19"/>
      <c r="J68" s="19"/>
      <c r="K68" s="19"/>
      <c r="L68" s="19"/>
    </row>
    <row r="69" ht="16.8" spans="1:12">
      <c r="A69" s="20" t="s">
        <v>310</v>
      </c>
      <c r="B69" s="20"/>
      <c r="C69" s="20"/>
      <c r="D69" s="20"/>
      <c r="E69" s="20"/>
      <c r="F69" s="20"/>
      <c r="G69" s="20"/>
      <c r="H69" s="20"/>
      <c r="I69" s="20"/>
      <c r="J69" s="20"/>
      <c r="K69" s="20"/>
      <c r="L69" s="20"/>
    </row>
  </sheetData>
  <autoFilter xmlns:etc="http://www.wps.cn/officeDocument/2017/etCustomData" ref="A4:L69" etc:filterBottomFollowUsedRange="0">
    <extLst/>
  </autoFilter>
  <mergeCells count="6">
    <mergeCell ref="A1:L1"/>
    <mergeCell ref="A2:L2"/>
    <mergeCell ref="A3:L3"/>
    <mergeCell ref="A66:G66"/>
    <mergeCell ref="A67:L67"/>
    <mergeCell ref="A69:L69"/>
  </mergeCells>
  <pageMargins left="0.700694444444445" right="0.700694444444445" top="0.751388888888889" bottom="0.751388888888889" header="0.298611111111111" footer="0.298611111111111"/>
  <pageSetup paperSize="9" scale="63"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1.“定点医疗机构”问题处置表</vt:lpstr>
      <vt:lpstr>11.18定稿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不懂</cp:lastModifiedBy>
  <dcterms:created xsi:type="dcterms:W3CDTF">2023-05-13T03:15:00Z</dcterms:created>
  <dcterms:modified xsi:type="dcterms:W3CDTF">2025-11-18T05:56:44Z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F22AEC74074E4874BAA21DDA0C320A9E_13</vt:lpwstr>
  </property>
  <property fmtid="{D5CDD505-2E9C-101B-9397-08002B2CF9AE}" pid="4" name="KSOReadingLayout">
    <vt:bool>true</vt:bool>
  </property>
</Properties>
</file>