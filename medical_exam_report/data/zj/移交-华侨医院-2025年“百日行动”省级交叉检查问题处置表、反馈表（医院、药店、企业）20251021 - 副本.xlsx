
<file path=[Content_Types].xml><?xml version="1.0" encoding="utf-8"?>
<Types xmlns="http://schemas.openxmlformats.org/package/2006/content-types">
  <Default Extension="wmf" ContentType="image/x-wm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180" tabRatio="743" activeTab="1"/>
  </bookViews>
  <sheets>
    <sheet name="1.“定点医疗机构”问题处置表" sheetId="5" r:id="rId1"/>
    <sheet name="11.17 (打印)" sheetId="23" r:id="rId2"/>
  </sheets>
  <definedNames>
    <definedName name="_xlnm._FilterDatabase" localSheetId="1" hidden="1">'11.17 (打印)'!$A$4:$M$37</definedName>
    <definedName name="_xlnm.Print_Titles" localSheetId="1">'11.17 (打印)'!$4:$4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<sst xmlns="http://schemas.openxmlformats.org/spreadsheetml/2006/main" count="278" uniqueCount="180">
  <si>
    <t>附件2-1</t>
  </si>
  <si>
    <t>2025年“百日行动”省级交叉检查问题处置表（定点医疗机构）</t>
  </si>
  <si>
    <t>填报单位（盖章）：XX市（州）医保局</t>
  </si>
  <si>
    <r>
      <rPr>
        <sz val="12"/>
        <color theme="1"/>
        <rFont val="仿宋"/>
        <charset val="134"/>
      </rPr>
      <t>检查期间：</t>
    </r>
    <r>
      <rPr>
        <sz val="12"/>
        <color rgb="FFFF0000"/>
        <rFont val="仿宋"/>
        <charset val="134"/>
      </rPr>
      <t>2023年1月-2025年*月</t>
    </r>
  </si>
  <si>
    <t>金额单位：元</t>
  </si>
  <si>
    <t>统筹地区</t>
  </si>
  <si>
    <t>医疗机构名称</t>
  </si>
  <si>
    <t>“百日行动”省级交叉检查问题金额</t>
  </si>
  <si>
    <t>医保部门处理情况</t>
  </si>
  <si>
    <t>医疗机构整改情况</t>
  </si>
  <si>
    <t>备注</t>
  </si>
  <si>
    <t>问题金额</t>
  </si>
  <si>
    <t>追回</t>
  </si>
  <si>
    <t>处罚</t>
  </si>
  <si>
    <t>对医疗机构处理方式</t>
  </si>
  <si>
    <t>自查自纠金额</t>
  </si>
  <si>
    <t>处理责任科室及责任人情况</t>
  </si>
  <si>
    <t>医药机构整改措施</t>
  </si>
  <si>
    <t>其中：涉及自查自纠201项问题清单金额</t>
  </si>
  <si>
    <t>其中：涉及欺诈骗保医保基金违规金额</t>
  </si>
  <si>
    <t>追回医保基金金额</t>
  </si>
  <si>
    <t>追回金额口径及计算办法</t>
  </si>
  <si>
    <t>处罚金额</t>
  </si>
  <si>
    <t>行政处罚金额</t>
  </si>
  <si>
    <t>协议违约金处理金额</t>
  </si>
  <si>
    <t>处罚依据及分类金额</t>
  </si>
  <si>
    <t>解除医保服务协议</t>
  </si>
  <si>
    <t>暂停医保结算</t>
  </si>
  <si>
    <t>中止医保服务协议</t>
  </si>
  <si>
    <t>涉嫌欺诈骗保行为移送司法部门</t>
  </si>
  <si>
    <t>涉及医疗行业管理规范
问题移交卫生健康部门</t>
  </si>
  <si>
    <t>涉嫌腐败相关问题线索移交纪检监察部门</t>
  </si>
  <si>
    <t>公开曝光</t>
  </si>
  <si>
    <r>
      <rPr>
        <sz val="12"/>
        <color theme="1"/>
        <rFont val="楷体"/>
        <charset val="134"/>
      </rPr>
      <t>其他</t>
    </r>
    <r>
      <rPr>
        <sz val="12"/>
        <color rgb="FFFF0000"/>
        <rFont val="楷体"/>
        <charset val="134"/>
      </rPr>
      <t>（需写明处理方式）</t>
    </r>
  </si>
  <si>
    <t>其中：涉及欺诈骗保医保基金追回金额</t>
  </si>
  <si>
    <t>其中：协议处理追回金额</t>
  </si>
  <si>
    <t>其中：涉及欺诈骗保医保基金处罚金额</t>
  </si>
  <si>
    <t>合计</t>
  </si>
  <si>
    <t>基金监管分管领导：</t>
  </si>
  <si>
    <t>监管处（科、室）负责人：</t>
  </si>
  <si>
    <t>填报人：</t>
  </si>
  <si>
    <t>联系电话：</t>
  </si>
  <si>
    <t>填报日期：2025年  月   日</t>
  </si>
  <si>
    <t>说明：                                                                                                                                                                                                                                                      1.对医疗机构处理方式，包括但不限于中止、解除医保服务协议、暂停医保结算，行政处罚、协议处理，移送司法、卫健、纪检监察等部门，公开曝光等措施。                                                                                                                                                              2.如移交市场监管部门、约谈等其他对医疗机构的处理方式列入“对医疗机构处理方式的其他项内”。                                                                                                                                                                                                                                                 3.自查自纠金额为被检机构通过自查自纠方式，涉及2023年1月1日—2025年6月30日期间的医保基金所发生的已上缴违规金额（两年半的合计数），不含行政处罚金额和协议违约金处理金额。</t>
  </si>
  <si>
    <t>2025年“百日行动”省级交叉检查问题确认表（荆州华侨医院）</t>
  </si>
  <si>
    <r>
      <rPr>
        <sz val="12"/>
        <rFont val="仿宋"/>
        <charset val="134"/>
      </rPr>
      <t>被检地：荆州市沙市区                                             检查时期范围:2023年１月-2025年6月          　　　　   　　             检查时间：2025年11月10日至11</t>
    </r>
    <r>
      <rPr>
        <sz val="12"/>
        <color rgb="FFFF0000"/>
        <rFont val="仿宋"/>
        <charset val="134"/>
      </rPr>
      <t>月12日</t>
    </r>
  </si>
  <si>
    <t>被检机构名称（盖章）：荆州华侨医院                  　　　　　　　    统一社会信用代码：914210003317403457             　　　　　　　　　　　　　医疗机构等级：二级</t>
  </si>
  <si>
    <t>序号</t>
  </si>
  <si>
    <t>问题类别       （一级指标）</t>
  </si>
  <si>
    <t>问题类别   （二级指标）</t>
  </si>
  <si>
    <t>原问题类别   （二级指标）</t>
  </si>
  <si>
    <t>问题项目</t>
  </si>
  <si>
    <t>违规科室</t>
  </si>
  <si>
    <t>问题情形描述</t>
  </si>
  <si>
    <t>问题
数量</t>
  </si>
  <si>
    <t>问题金额
（元）</t>
  </si>
  <si>
    <t>医保基金损失金额（元）</t>
  </si>
  <si>
    <t>认定依据</t>
  </si>
  <si>
    <t>201条问题清单</t>
  </si>
  <si>
    <t>涉嫌欺诈骗保问题</t>
  </si>
  <si>
    <t>虚构服务</t>
  </si>
  <si>
    <t>心脏彩色多普勒超声（编码：220600004）、左心功能测定（编码220600010）、组织多普勒显象（编码：220700004）</t>
  </si>
  <si>
    <t>门诊</t>
  </si>
  <si>
    <t>发现以下四人无相关检查记录，收取心脏彩超费用。熊杨柳（门诊号MZ00081737,时间2023年11月19日）、卞翠红（门诊号MZ00081738,时间2023年11月19日）、丁章英（门诊号MZ00081725,时间2023年11月18日）、简艳丽（门诊号MZ00081716,时间2023年11月18日），门诊收取心脏彩色多普勒超声（111元/次）、左心功能测定（51元/次）、组织多普勒显象（34元/次），医院系统无检查记录（全时间段）</t>
  </si>
  <si>
    <t>根据《医疗保障基金使用监督管理条例》第四十条 （三）虚构医药服务项目；</t>
  </si>
  <si>
    <t>一般违规问题</t>
  </si>
  <si>
    <t>串换项目</t>
  </si>
  <si>
    <t>钙测定  离子选择电极法（编码：250304004）</t>
  </si>
  <si>
    <t>内科、外科、妇科</t>
  </si>
  <si>
    <t>该院使用的是离子选择电极分析仪，直接测定的是离子钙和其他电解质，未使用总钙测定试剂，通过计算方式算出总钙检查结果并收费。2023年1月1日至2025年6月30日期间，涉及3503次</t>
  </si>
  <si>
    <t>根据《荆州市医疗服务价格项目及医保支付目录》，钙测定（编码：250304004）①干化学法②比色法③分光光度法④离子选择电极法⑤电感耦合等离子体质谱法⑥电化学法</t>
  </si>
  <si>
    <t>核减当地医保2024年1月15日已处理问题金额2590.5元</t>
  </si>
  <si>
    <t>重复收费</t>
  </si>
  <si>
    <t>临床操作的彩色多普勒超声引导（编码：220302012）</t>
  </si>
  <si>
    <t>外科</t>
  </si>
  <si>
    <t>收取体外冲击波碎石同时，又收取临床操作的彩色多普勒超声引导费用，临床操作的彩色多普勒超声引导属重复收费。2023年1月1日至2025年6月30日期间，同一患者同一天收取体外冲击波碎石的同时收取临床操作的彩色多普勒超声引导，涉及748人次，重复收费752次</t>
  </si>
  <si>
    <t>根据《荆州市医疗服务价格项目及医保支付目录》，体外冲击波碎石（编码311000040）项目内涵：含影像学监测；不含摄片</t>
  </si>
  <si>
    <t>183-贴片</t>
  </si>
  <si>
    <t>该院患者行心电图检查时，收取一次性使用心电电极（医保项目名称：183-贴片）费用。例：陈秋耳，住院号20232327,2023年12月10日行常规十二通道心电图检查，同时收取一次性使用心电电极费用7.8元。2023年1月1日至2025年6月30日期间，收取183-贴片，涉及3398人次，数量16819次</t>
  </si>
  <si>
    <t>根据《荆州市医疗服务价格项目及医保支付目录》，31临床各系统诊疗说明：3.诊疗中所需的特殊医用消耗材料（如特殊穿刺针(器)、消融电极、特殊导丝、导管、支架、球囊、特殊缝线、特殊缝针、钛夹、扩张器等）、药品、化学粒子均为除外内容。凡在项目内涵中已含的不再单独收费。</t>
  </si>
  <si>
    <t>1、核减当地医保2025年6月已处理问题金额46.8元，已退回违规使用医保基金33.7元；
2、核减《协议处理决定书》（沙医保协处字〔2025〕第10号）问题金额716.23元（该文件处理2022年-2023年问题，按问题金额1432.450.5计算），未退款。</t>
  </si>
  <si>
    <t>尿常规检查（编码：250102001）</t>
  </si>
  <si>
    <t>内科、外科、妇科、康复科</t>
  </si>
  <si>
    <t>收取尿液分析同时，又收取尿常规检查费用，尿常规检查属重复收费。例：傅峰，住院号20243099，诊断：肾积水伴输尿管结石，2024.5.30医嘱开具尿液二项（尿液分析+尿常规），并收费。2023年1月1日至2025年6月30日期间，同一患者同一天收取尿液分析、尿常规检查，涉及4056人次，尿常规检查收费4323次</t>
  </si>
  <si>
    <t>根据《荆州市医疗服务价格项目及医保支付目录》，尿常规检查（编码250102001）项目内涵：指手工操作；含外观、酸碱度、蛋白定性、镜检。尿液分析（编码250102035）项目内涵：指仪器法，8－11项</t>
  </si>
  <si>
    <t>核减当地医保2025年9月1日《协议处理决定书》（沙医保协处字〔2025〕第10号）涉及金额2394.15元（该文件处理2022年-2023年问题，按问题金额4788.3*0.5计算），未退款</t>
  </si>
  <si>
    <t>X线摄影 一张胶片多次曝光每增加一次曝光加收4元（编码：210102）</t>
  </si>
  <si>
    <t>外科、妇科</t>
  </si>
  <si>
    <t>数字化摄影(DR)时，胶片未多次曝光，收取“一张胶片多次曝光每增加一次曝光加收4元”费用。例：李新华（住院号20254679）。2023年1月1日至2025年6月30日期间，收取“X线摄影  一张胶片多次曝光每增加一次曝光加收4元”1719次</t>
  </si>
  <si>
    <t>根据CT设备Brivo XR575/515操作手册，图像打印</t>
  </si>
  <si>
    <t>膀胱镜尿道镜检查（编码：311000034）</t>
  </si>
  <si>
    <t>收取经膀胱镜膀胱颈电切术同时，又收取膀胱镜尿道镜检查。例：裴得延，住院号20218436，诊断：膀胱颈痉挛，2025年3月25日行经尿道膀胱颈等离子汽化电切术，重复收取膀胱镜尿道镜检查费用。2023年1月1日至2025年6月30日期间，同一患者同一天收取经膀胱镜膀胱颈电切术、膀胱镜尿道镜检查，涉及7人次</t>
  </si>
  <si>
    <t>根据《中国泌尿外科和男科疾病诊断治疗指南》，内镜手术含通过内镜仔细观察膀胱颈及膀胱内的病变情况</t>
  </si>
  <si>
    <t>超标准收费</t>
  </si>
  <si>
    <t>大换药（编码：120600002）、特大换药（编码：120600001）</t>
  </si>
  <si>
    <r>
      <rPr>
        <sz val="11"/>
        <rFont val="仿宋"/>
        <charset val="134"/>
      </rPr>
      <t>经皮肾盂镜取石术通常只有1个主要伤口，直径约0.5-1.5厘米，依据《荆州市医疗服务价格项目及医保支付目录》，伤口长度≤3cm或伤口面积≤10cm</t>
    </r>
    <r>
      <rPr>
        <sz val="11"/>
        <rFont val="宋体"/>
        <charset val="134"/>
      </rPr>
      <t>²</t>
    </r>
    <r>
      <rPr>
        <sz val="11"/>
        <rFont val="仿宋"/>
        <charset val="134"/>
      </rPr>
      <t>的应收取小换药，该院普遍收取大换药或特大换药。例：陈丽，住院号20231897,2023年10月18日做经皮肾镜钬激光碎石术，收取大换药。2023年1月1日至2025年6月30日期间，同一患者一次住院期间收取经皮肾盂镜取石术的同时收取大换药或特大换药，涉及314次</t>
    </r>
  </si>
  <si>
    <r>
      <rPr>
        <sz val="11"/>
        <rFont val="仿宋"/>
        <charset val="134"/>
      </rPr>
      <t>根据《荆州市医疗服务价格项目及医保支付目录》，小换药（编码120600004）说明：伤口长度≤3cm或伤口面积≤10cm</t>
    </r>
    <r>
      <rPr>
        <sz val="11"/>
        <rFont val="宋体"/>
        <charset val="134"/>
      </rPr>
      <t>²</t>
    </r>
  </si>
  <si>
    <t>61条</t>
  </si>
  <si>
    <t>核减医院自查自纠已退款问题金额1665.6元</t>
  </si>
  <si>
    <t>违反诊疗规范过度诊疗</t>
  </si>
  <si>
    <t>血清胱抑素(Cystatin C)测定 比浊法（编码：250307028）</t>
  </si>
  <si>
    <t>非肾病患者无指征开展血清胱抑素测定。例：邹柳铭，住院号20231623,9岁，诊断隐匿性阴茎，无肾脏相关疾病，2023年8月1日医嘱开具肾功能六项，含血清胱抑素测定，结果正常。2023年1月1日至2025年6月30日期间，同一住院患者同一天收取尿素测定同时又收取血清胱抑素测定，年龄60岁以下，排除诊断含“肾病、糖尿病、高血压、妊娠、脓毒血症、肿瘤、放化疗、代谢综合征、电解质紊乱、骨折、低蛋白血症”，涉及649人次，过度检查945次</t>
  </si>
  <si>
    <t>根据《全国临床检验操作规程》第四版，血清胱抑素测定主要用于肾小球滤过功能损伤、糖尿病肾病、高血压肾病以及其他肾小球早期损伤的诊断及预后判断。</t>
  </si>
  <si>
    <t>125条</t>
  </si>
  <si>
    <t>1、核减2024年第一季度已处理问题金额866.46元（计算方式（82/595）*6287.09）；
2、核减2024年自查自纠已处理问题金额4833.9元、2583元，合计7416.9元；
3、核减2023年第四季度已处理问题金额82元；</t>
  </si>
  <si>
    <t>三维重建（编码：210300001d）</t>
  </si>
  <si>
    <t>外科、内科、妇科</t>
  </si>
  <si>
    <t>无指征做三维重建。例：肖宏英，住院号20254723,2025年5月2日至5月19日因胫动脉狭窄住院，出院诊断：胫动脉狭窄、坠积性肺炎、下肢皮肤感染，低蛋白性营养不良、陈旧性腰椎骨折、2型糖尿病，分别于2025年5月5日、5月15日行胸部单次多层CT+三维重建。2023年1月1日至2025年6月30日期间，排除诊断含“输尿管、积水”，收取三维重建涉及522人次，过度检查560次</t>
  </si>
  <si>
    <t>按CT三维重建的专家共识和指南，并结合临床诊疗需要，对输尿管疾病和骨折患者行三维重建有一定意义</t>
  </si>
  <si>
    <t>血清载脂蛋白α测定（编码：250303013）、血清载脂蛋白B测定（编码：250303009）、血清载脂蛋白B测定（编码：250303009）</t>
  </si>
  <si>
    <t>无指征开展血清载脂蛋白测定。例：沈子祺，住院号20243322，住院时间2024.7.10-2024.7.15,诊断慢性阑尾炎急性发作，入院当天医嘱开具血脂七项，含血清载脂蛋白测定。2023年1月1日至2025年6月30日期间，排除60岁及以上患者、排除诊断高脂血症、高血压、糖尿病、肝胆胰疾病、代谢综合征、心脑血管疾病、出血性疾病、肾病综合征等疾病，同一患者同一天收取血清总胆固醇测定同时又收取血清载脂蛋白α测定、血清载脂蛋白B测定、血清载脂蛋白AⅠ测定，涉及1355次</t>
  </si>
  <si>
    <t>根据《全国临床检验操作规程》第四版,血清载脂蛋白α高Lp(a)与冠心病发病倾向相关,急性时相反应(如急性心肌梗死、外科手术、急性风湿性关节炎)、缺血性心脑血管疾病、肾病综合征、尿毒症、糖尿病肾病、除肝癌以外恶性肿瘤等均可使它上升。肝脏疾病(慢性肝炎除外)可使Lp(a)水平下降。对心脑血管疾病、肝胆胰疾病、肾脏疾病、高脂血症、糖尿病、代谢综合征、甲状腺功能疾病、恶性肿瘤等相关疾病具有辅助诊断意义。血清载脂蛋白B用于反映体内脂蛋白情况，对心脑血管疾病、肝胆胰疾病、肾脏疾病、高脂血症、糖尿病、代谢综合征、甲状腺功能疾病、恶性肿瘤等相关疾病具有辅助诊断意义。血清载脂蛋白AI可反映体内脂蛋白的情况，对心脑血管疾病、肝胆胰疾病、肾脏疾病、高脂血症、糖尿病、代谢综合征、甲状腺功能疾病、恶性肿瘤等相关疾病具有辅助诊断意义。</t>
  </si>
  <si>
    <t>122-123条</t>
  </si>
  <si>
    <t>核减《协议处理决定书》（沙医保协处字〔2025〕第10号）问题金额13657.6元（该文件处理2022年-2023年问题，按问题金额27315.2*0.5计算），未退款。</t>
  </si>
  <si>
    <t>β2微球蛋白测定（编码：250301014、250307009）</t>
  </si>
  <si>
    <t>无肾、肝、血液系统、肿瘤、癌、 自身免疫病、中毒、泌尿系统感染等疾病诊断的患者，开展β2微球蛋白测定。例：邹柳铭，住院号20231623,9岁，诊断隐匿性阴茎，2023年8月1日医嘱开具肾功能六项，含β2微球蛋白测定，结果正常。2023年1月1日至2025年6月30日期间，年龄60岁以下，排除诊断：肾病、糖尿病、高血压、妊娠、脓毒血症、肿瘤、放化疗、代谢综合征、电解质紊乱、骨折、低蛋白血症、透析、淀粉样、综合征、骨髓瘤、白血病、狼疮、类风湿、免疫性疾病、移植、肿瘤、尿路疾病，涉及650人次，过度检查967次</t>
  </si>
  <si>
    <t>根据《全国临床检验操作规程》第四版，血B2-MG是反映肾小球滤过功能的灵敏指标,是淋巴细胞增殖性疾病的主要标志物。可用于评估自身免疫性疾病的活动程度,并可作为观察药物疗效的指标。尿B2-MG是诊断近曲小管损害敏感而特异的方法，有助于鉴别肾小球或肾小管病变，用于鉴别尿路感染,糖尿病、高血压患者肾功能损害程度，恶性肿瘤、自身免疫性疾病肾损害，肾移植患者机体发生排斥反应。</t>
  </si>
  <si>
    <t>142条</t>
  </si>
  <si>
    <t>核减医院2024年自查自纠问题金额3333元，已退款；核减2024年8月智能监管平台已处理问题金额537元</t>
  </si>
  <si>
    <t>组织多普勒显象(TDI)（编码：220700004）</t>
  </si>
  <si>
    <t>外科、内科、妇科、康复科</t>
  </si>
  <si>
    <t>无指征行组织多普勒显象(TDI)。例：邹松，住院号20242858，诊断：肾积水伴输尿管结石、肾结石，无指征行组织多普勒显象。2023年1月1日至2025年6月30日期间，排除诊断含“心，瓣关闭，瓣狭窄，冠，高血压，糖尿病”，行该项检查的，涉及285人次，数量217.5次，属过度检查</t>
  </si>
  <si>
    <t>根据《全国医疗服务项目技术规范（2023年）》，组织多普勒成像 项目内涵：在常规心脏超声检查基础上,对心肌运动进行组织多普勒成像和相关参数检测。</t>
  </si>
  <si>
    <t>血清肌钙蛋白Ⅰ测定（编码：250306009）</t>
  </si>
  <si>
    <t>外科、内科</t>
  </si>
  <si>
    <t>无指征开展血清肌钙蛋白Ⅰ测定。例：刘交儿，住院号20242967，诊断：肾积水伴输尿管结石，2024年4月29日无指征开展血清肌钙蛋白Ⅰ测定。2023年1月1日至2025年6月30日期间，排除诊断：心脏疾病、高血压、主/肺动脉相关疾病、急慢性肾衰、甲状腺疾病、血色病、结节病、硬皮病、毒、卒中、出血、梗死、肌、衰竭、淀粉样等疾病，行该项检查，涉及15人次</t>
  </si>
  <si>
    <t>根据《全国临床检验操作规程》第四版,cTn对心肌损伤具有很高的敏感性和特异性,急性冠状动脉综合征（ACS)诊断的首选心肌损伤标志物。ACShs-cTn升高的心源性病因有:稳定型心绞痛、急性和重度慢性心力衰竭、高血压危象、快速或缓慢性心律失常、心脏挫伤、心脏消融、起搏、心脏电复律、心内膜活检、心肌炎等疾病;主动脉夹层、主动脉瓣膜疾病、肥厚性心肌病、心尖球形综合征、肺动脉栓塞和重度肺动脉高压。非ACS hs-cTn升高的非心源性病因有:急性和慢性肾衰竭、急性神经系统病变(包括卒中或蛛网膜下腔出血)、甲状腺功能减退、浸润性疾病(如淀粉样变性、血色病、结节病、硬皮病)、药物毒性(如阿霉素、氟尿嘧啶、曲妥珠单抗、蛇毒)、烧伤&gt;30%体表面积、横纹肌溶解和严重疾病患者(呼吸衰竭、脓毒症等)。</t>
  </si>
  <si>
    <t>糖类抗原测定（编码：250404011）</t>
  </si>
  <si>
    <t>无指征开展糖类抗原测定。 例：胡耀珍，2025.1.20，门诊做糖类抗原测定，无相关诊断。2023年1月1日至2025年6月30日期间，做糖类抗原测定，涉及19次</t>
  </si>
  <si>
    <t>根据《全国临床检验操作规程》第四版，癌胚抗原、糖类抗原系肿瘤标志物，不同抗原对不同类型肿瘤具有辅助诊断意义</t>
  </si>
  <si>
    <t>137条</t>
  </si>
  <si>
    <t>血清肌红蛋白测定（编码：250306010）</t>
  </si>
  <si>
    <t>无指征开展血清肌红蛋白测定。例：傅峰，住院号20243099，诊断：肾积水伴输尿管结石，2024年5月30日无指征开展血清肌红蛋白测定。2023年1月1日至2025年6月30日期间，排除心胸部疾病、排除骨病、肌病、肾病，排除重症患者、心内科患者，行该项检查，涉及7次</t>
  </si>
  <si>
    <t>根据《全国临床检验操作规程》第四版,肌红蛋白不仅仅适用于心肌梗死，可用于心绞痛、急慢性左心衰竭、慢性肾功能衰竭、酒精性急性肾功能衰竭、原发性肌病。</t>
  </si>
  <si>
    <t>癌胚抗原测定(CEA)（编码：250404001）</t>
  </si>
  <si>
    <t>对无相关疾病指征的患者开展癌胚抗原测定（CEA）。例：张金安，住院号20228920，诊断：急性结肠炎、原发性高血压、肺部感染，做癌胚抗原测定。2023年1月1日至2025年6月30日期间，做癌胚抗原测定，涉及15人次</t>
  </si>
  <si>
    <t>甲胎蛋白测定(AFP)（编码：250404002）</t>
  </si>
  <si>
    <t>无指征开展甲胎蛋白测定。 例：张金安，住院号20228920，诊断：急性结肠炎、原发性高血压、肺部感染，做甲胎蛋白测定。2023年1月1日至2025年6月30日期间，排除诊断含“癌、肿瘤”，行甲胎蛋白测定，涉及14人次</t>
  </si>
  <si>
    <t>根据《全国临床检验操作规程》第四版，甲胎蛋白测定主要用于原发性肝癌及其他恶性肿瘤的辅助诊断</t>
  </si>
  <si>
    <t>数字化摄影(DR)（编码：210102015）</t>
  </si>
  <si>
    <t>1、江惠，住院号20242445,诊断：肾积水伴输尿管结石，2024年1月2日，医嘱同时开具：泌尿系（双肾输尿管膀胱）CT单次多层平扫+三维重建+CT成像、腹部平片，腹部平片属过度检查；
2、谢先龙，住院号20193853,诊断：肾积水伴输尿管结石，2023年2月27日医嘱同时开具：泌尿系（双肾输尿管膀胱）CT单次多层平扫+三维重建+CT成像、腹部平片，腹部平片属过度检查；
3、韦红波，住院号20231409，诊断：肾积水伴输尿管结石，2023年6月27日医嘱同时开具：泌尿系（双肾输尿管膀胱）CT单次多层平扫+三维重建+CT成像、腹部平片，腹部平片属过度检查；</t>
  </si>
  <si>
    <t>根据《外科学（第九版）》，腹部平片（KUB）能发现90%左右的X线阳性结石。CT检查常用于解决KUB无法明确的问题。</t>
  </si>
  <si>
    <t>爱普列特片、盐酸坦索罗辛缓释胶囊</t>
  </si>
  <si>
    <t>丰良山，住院号:20231485，诊断：肾积水伴输尿管结石、输尿管狭窄，无前列腺病史，使用“爱普列特片、盐酸坦索罗辛缓释胶囊”，涉及175元；</t>
  </si>
  <si>
    <t>根据药品说明书，爱普列特片适用于治疗良性前列腺增生症，改善因良性前列腺增生的有关症状；盐酸坦索罗辛缓释胶囊适应症：前列腺增生症引起的排尿障碍</t>
  </si>
  <si>
    <t>其他（超适应症用药）</t>
  </si>
  <si>
    <t>注射用奥美拉唑钠</t>
  </si>
  <si>
    <t>无消化道疾病使用注射用奥美拉唑钠。例：文良凤，住院号20254517，诊断：急性阑尾炎、肾结石、脂肪肝，无消化系统疾病病史，病程无相关病症记录，2025年3月16日长期医嘱开具注射用奥美拉唑钠。2024年4月1日至2025年6月30日期间，排除诊断含“胃、反流、出血、溃疡”，住院患者使用注射用奥美拉唑钠，涉及1419人次，收费数量2112</t>
  </si>
  <si>
    <t>根据注射用奥美拉唑钠药品说明书，适应症：主要用于：1消化性溃疡出血、吻合口腔溃疡出血；2应激状态时并发的急性胃粘膜损害、非甾体类抗炎药引起的急性胃粘膜损伤；3、预防重症疾病（如脑出血、严重创伤等）应激状态及胃手术后引起的上消化道出血等；4、作为当口服疗法不适用于下列病症的普代疗法：十二指肠溃疡、胃溃疡、反流性食管炎及Zollinger-Ellisin综合征。</t>
  </si>
  <si>
    <t>内部管理问题</t>
  </si>
  <si>
    <t>其他（使用过期或未检验医疗器械）</t>
  </si>
  <si>
    <t>其他（医疗器械过期或未检验使用）</t>
  </si>
  <si>
    <t>妇科特殊治疗（编码：311201020）</t>
  </si>
  <si>
    <t>妇科</t>
  </si>
  <si>
    <t>该院妇科特殊治疗设备，ZW-1001F微波治疗机，设备合格证 检验日期16.3.14，无检测检验报告，2023年1月1日至2025年6月30日期间，仍正常使用该设备行妇科特殊治疗，涉及155人次，收费269.7次</t>
  </si>
  <si>
    <t>根据ZW-1001F微波治疗机使用说明书，保养维护：定期检查项目如下：1.每半年按GB9706.6中31条款检查一次微波泄漏；2.每半年按GB9706.6和YY0838中有关条款对微波输出功率的精确性进行一次检查；3.每半年检查一次正常温度下连续漏电流；4.以上维护请经过制造商培训并有资质的人员进行。
根据《荆州市基本医疗保障定点医疗机构服务协议》第七十二条 违约情形 (二十四)使用无合格证明、过期、失效、淘汰的医学装备 为患者提供医保服务，收取医保费用的；</t>
  </si>
  <si>
    <t>电针（编码：430000016）</t>
  </si>
  <si>
    <t>康复科</t>
  </si>
  <si>
    <t>现场查看发现，该院针灸针有效期至2021年4月，已过期，核对进销存，2021年4月后，医院未购进任何型号针灸针。2023年1月1日至2025年6月30日期间，收取电针108次</t>
  </si>
  <si>
    <t>根据《医疗器械监督管理条例》第五十五条　医疗器械经营企业、使用单位不得经营、使用未依法注册或者备案、无合格证明文件以及过期、失效、淘汰的医疗器械。
根据《荆州市基本医疗保障定点医疗机构服务协议》第七十二条 违约情形 (二十四)使用无合格证明、过期、失效、淘汰的医学装备 为患者提供医保服务，收取医保费用的；</t>
  </si>
  <si>
    <t>体外冲击波碎石（编码：311000040）</t>
  </si>
  <si>
    <t>该院体外冲击波碎石术机，产品型号HK.ESWL-109，生产日期：2016年3月 使用年限：8年。2024年3月后仍在使用，院方提供2023年-2025年该设备的维保记录及更换零件、检验合格的相关资料，未经市场监管部门验收检验。</t>
  </si>
  <si>
    <t>根据《医疗器械监督管理条例》第五十五条　医疗器械经营企业、使用单位不得经营、使用未依法注册或者备案、无合格证明文件以及过期、失效、淘汰的医疗器械。
根据《荆州市基本医疗保障定点医疗机构服务协议》第七十二条 违约情形 (二十四)使用无合格证明、过期、失效、淘汰的医学装备为患者提供医保服务，收取医保费用的；</t>
  </si>
  <si>
    <t>十二通道常规心电图检查（编码：310701001d）</t>
  </si>
  <si>
    <t>该院十二通道常规心电图检查设备，心电图机，型号CM1200B，生产日期2023.1.25，未定期检验，无检验报告，仍正常使用。</t>
  </si>
  <si>
    <t>根据《实施强制管理的计量器具目录》（国家市场监督管理总局公告2019年第48号），心电图机检定周期1年。
根据《荆州市基本医疗保障定点医疗机构服务协议》第七十二条 违约情形 (二十四)使用无合格证明、过期、失效、淘汰的医学装备 为患者提供医保服务，收取医保费用的；</t>
  </si>
  <si>
    <t>进销存不符</t>
  </si>
  <si>
    <t>进口钠石灰</t>
  </si>
  <si>
    <t>/</t>
  </si>
  <si>
    <t>核对该院药品耗材进销存，2023年1月1日至2025年11月11日期间，进口钠石灰（规格4.5KG/桶，单价804元），期初库存26桶，购进311桶，出库337桶，结余0桶，同期结算数量628.33桶（含自费，其中医保结算617.73桶），结算数超出出库数291.33桶</t>
  </si>
  <si>
    <t>根据《荆州市基本医疗保障定点医疗机构服务协议》第七十二条 (十六)未按甲方要求传输相关数据、信息，或不能做到账账相符、账实相符；</t>
  </si>
  <si>
    <t>1、核减当地医保2025年6月已处理3.5桶，问题金额2814元，已退回违规使用医保基金2026.08元；
2、核减《协议处理决定书》（沙医保协处字〔2025〕第10号）问题金额6801.84元（该文件处理2022年-2023年问题，按问题金额0.5计算），未退款。</t>
  </si>
  <si>
    <t>J管套装  F6 L（260）导丝、J管套装F6L(260)导丝0.032</t>
  </si>
  <si>
    <t>核对该院药品耗材进销存，2023年1月1日至2025年11月11日期间，J管套装 F6 L（260）导丝、J管套装F6L(260)导丝0.032（单价1320元）期初库存0，购进1132支，出库1132支，结余0，同期结算数量1134支，结算数超出出库数2支</t>
  </si>
  <si>
    <t>J管套装  F7 L（260）导丝、J管套装F7L(260)导丝0.032</t>
  </si>
  <si>
    <t>核对该院药品耗材进销存，2023年1月1日至2025年11月11日期间，J管套装  F7 L（260）导丝、J管套装F7L(260)导丝0.032（单价1320元），期初库存12支，购进1851支，出库1852支，结余11支，同期结算数量1807支，溢库45支</t>
  </si>
  <si>
    <t>锁扣夹（结扎夹）L</t>
  </si>
  <si>
    <t>核对该院进销存，2023年1月1日至2025年11月11日，锁扣夹（结扎夹）L（单价135元），期初库存6个，购进3834个，出库3552个，结余288个，同期结算数量3398个，溢库154个</t>
  </si>
  <si>
    <t xml:space="preserve"> 被检机构负责人确认签字：           　　     检查组组长：　　　　　　       检查组主要成员：                        　　　　 　　　　                         确认时间：2025年  月  日　　</t>
  </si>
  <si>
    <t>（本文书一式二份，一份移交属地医疗保障行政部门，一份上交省医疗保障局归档。）</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</si>
</sst>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s>
  <fonts count="36">
    <font>
      <sz val="11"/>
      <color theme="1"/>
      <name val="宋体"/>
      <charset val="134"/>
      <scheme val="minor"/>
    </font>
    <font>
      <sz val="11"/>
      <name val="宋体"/>
      <charset val="134"/>
      <scheme val="minor"/>
    </font>
    <font>
      <sz val="20"/>
      <name val="方正小标宋简体"/>
      <charset val="134"/>
    </font>
    <font>
      <sz val="12"/>
      <name val="仿宋"/>
      <charset val="134"/>
    </font>
    <font>
      <sz val="11"/>
      <name val="楷体"/>
      <charset val="134"/>
    </font>
    <font>
      <sz val="11"/>
      <name val="仿宋"/>
      <charset val="134"/>
    </font>
    <font>
      <sz val="11"/>
      <name val="Calibri"/>
      <charset val="134"/>
    </font>
    <font>
      <b/>
      <sz val="11"/>
      <name val="仿宋"/>
      <charset val="134"/>
    </font>
    <font>
      <sz val="13"/>
      <name val="仿宋"/>
      <charset val="134"/>
    </font>
    <font>
      <sz val="12"/>
      <color theme="1"/>
      <name val="仿宋"/>
      <charset val="134"/>
    </font>
    <font>
      <sz val="20"/>
      <color theme="1"/>
      <name val="方正小标宋简体"/>
      <charset val="134"/>
    </font>
    <font>
      <sz val="11"/>
      <color theme="1"/>
      <name val="仿宋"/>
      <charset val="134"/>
    </font>
    <font>
      <sz val="12"/>
      <color theme="1"/>
      <name val="楷体"/>
      <charset val="134"/>
    </font>
    <font>
      <sz val="14"/>
      <color rgb="FFFF0000"/>
      <name val="仿宋"/>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name val="宋体"/>
      <charset val="134"/>
    </font>
    <font>
      <sz val="12"/>
      <color rgb="FFFF0000"/>
      <name val="仿宋"/>
      <charset val="134"/>
    </font>
    <font>
      <sz val="12"/>
      <color rgb="FFFF0000"/>
      <name val="楷体"/>
      <charset val="134"/>
    </font>
  </fonts>
  <fills count="34">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right/>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style="thin">
        <color auto="1"/>
      </bottom>
      <diagonal/>
    </border>
    <border>
      <left style="thin">
        <color auto="1"/>
      </left>
      <right/>
      <top/>
      <bottom/>
      <diagonal/>
    </border>
    <border>
      <left/>
      <right style="thin">
        <color auto="1"/>
      </right>
      <top style="thin">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style="medium">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0" fillId="3" borderId="29"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30" applyNumberFormat="0" applyFill="0" applyAlignment="0" applyProtection="0">
      <alignment vertical="center"/>
    </xf>
    <xf numFmtId="0" fontId="20" fillId="0" borderId="30" applyNumberFormat="0" applyFill="0" applyAlignment="0" applyProtection="0">
      <alignment vertical="center"/>
    </xf>
    <xf numFmtId="0" fontId="21" fillId="0" borderId="31" applyNumberFormat="0" applyFill="0" applyAlignment="0" applyProtection="0">
      <alignment vertical="center"/>
    </xf>
    <xf numFmtId="0" fontId="21" fillId="0" borderId="0" applyNumberFormat="0" applyFill="0" applyBorder="0" applyAlignment="0" applyProtection="0">
      <alignment vertical="center"/>
    </xf>
    <xf numFmtId="0" fontId="22" fillId="4" borderId="32" applyNumberFormat="0" applyAlignment="0" applyProtection="0">
      <alignment vertical="center"/>
    </xf>
    <xf numFmtId="0" fontId="23" fillId="5" borderId="33" applyNumberFormat="0" applyAlignment="0" applyProtection="0">
      <alignment vertical="center"/>
    </xf>
    <xf numFmtId="0" fontId="24" fillId="5" borderId="32" applyNumberFormat="0" applyAlignment="0" applyProtection="0">
      <alignment vertical="center"/>
    </xf>
    <xf numFmtId="0" fontId="25" fillId="6" borderId="34" applyNumberFormat="0" applyAlignment="0" applyProtection="0">
      <alignment vertical="center"/>
    </xf>
    <xf numFmtId="0" fontId="26" fillId="0" borderId="35" applyNumberFormat="0" applyFill="0" applyAlignment="0" applyProtection="0">
      <alignment vertical="center"/>
    </xf>
    <xf numFmtId="0" fontId="27" fillId="0" borderId="36" applyNumberFormat="0" applyFill="0" applyAlignment="0" applyProtection="0">
      <alignment vertical="center"/>
    </xf>
    <xf numFmtId="0" fontId="28" fillId="7" borderId="0" applyNumberFormat="0" applyBorder="0" applyAlignment="0" applyProtection="0">
      <alignment vertical="center"/>
    </xf>
    <xf numFmtId="0" fontId="29" fillId="8" borderId="0" applyNumberFormat="0" applyBorder="0" applyAlignment="0" applyProtection="0">
      <alignment vertical="center"/>
    </xf>
    <xf numFmtId="0" fontId="30" fillId="9" borderId="0" applyNumberFormat="0" applyBorder="0" applyAlignment="0" applyProtection="0">
      <alignment vertical="center"/>
    </xf>
    <xf numFmtId="0" fontId="31" fillId="10" borderId="0" applyNumberFormat="0" applyBorder="0" applyAlignment="0" applyProtection="0">
      <alignment vertical="center"/>
    </xf>
    <xf numFmtId="0" fontId="32" fillId="11" borderId="0" applyNumberFormat="0" applyBorder="0" applyAlignment="0" applyProtection="0">
      <alignment vertical="center"/>
    </xf>
    <xf numFmtId="0" fontId="32" fillId="12" borderId="0" applyNumberFormat="0" applyBorder="0" applyAlignment="0" applyProtection="0">
      <alignment vertical="center"/>
    </xf>
    <xf numFmtId="0" fontId="31" fillId="13" borderId="0" applyNumberFormat="0" applyBorder="0" applyAlignment="0" applyProtection="0">
      <alignment vertical="center"/>
    </xf>
    <xf numFmtId="0" fontId="31" fillId="14" borderId="0" applyNumberFormat="0" applyBorder="0" applyAlignment="0" applyProtection="0">
      <alignment vertical="center"/>
    </xf>
    <xf numFmtId="0" fontId="32" fillId="15" borderId="0" applyNumberFormat="0" applyBorder="0" applyAlignment="0" applyProtection="0">
      <alignment vertical="center"/>
    </xf>
    <xf numFmtId="0" fontId="32" fillId="16" borderId="0" applyNumberFormat="0" applyBorder="0" applyAlignment="0" applyProtection="0">
      <alignment vertical="center"/>
    </xf>
    <xf numFmtId="0" fontId="31" fillId="17" borderId="0" applyNumberFormat="0" applyBorder="0" applyAlignment="0" applyProtection="0">
      <alignment vertical="center"/>
    </xf>
    <xf numFmtId="0" fontId="31" fillId="18" borderId="0" applyNumberFormat="0" applyBorder="0" applyAlignment="0" applyProtection="0">
      <alignment vertical="center"/>
    </xf>
    <xf numFmtId="0" fontId="32" fillId="19" borderId="0" applyNumberFormat="0" applyBorder="0" applyAlignment="0" applyProtection="0">
      <alignment vertical="center"/>
    </xf>
    <xf numFmtId="0" fontId="32" fillId="20" borderId="0" applyNumberFormat="0" applyBorder="0" applyAlignment="0" applyProtection="0">
      <alignment vertical="center"/>
    </xf>
    <xf numFmtId="0" fontId="31" fillId="21" borderId="0" applyNumberFormat="0" applyBorder="0" applyAlignment="0" applyProtection="0">
      <alignment vertical="center"/>
    </xf>
    <xf numFmtId="0" fontId="31" fillId="22" borderId="0" applyNumberFormat="0" applyBorder="0" applyAlignment="0" applyProtection="0">
      <alignment vertical="center"/>
    </xf>
    <xf numFmtId="0" fontId="32" fillId="23" borderId="0" applyNumberFormat="0" applyBorder="0" applyAlignment="0" applyProtection="0">
      <alignment vertical="center"/>
    </xf>
    <xf numFmtId="0" fontId="32" fillId="24" borderId="0" applyNumberFormat="0" applyBorder="0" applyAlignment="0" applyProtection="0">
      <alignment vertical="center"/>
    </xf>
    <xf numFmtId="0" fontId="31" fillId="25" borderId="0" applyNumberFormat="0" applyBorder="0" applyAlignment="0" applyProtection="0">
      <alignment vertical="center"/>
    </xf>
    <xf numFmtId="0" fontId="31" fillId="26" borderId="0" applyNumberFormat="0" applyBorder="0" applyAlignment="0" applyProtection="0">
      <alignment vertical="center"/>
    </xf>
    <xf numFmtId="0" fontId="32" fillId="27" borderId="0" applyNumberFormat="0" applyBorder="0" applyAlignment="0" applyProtection="0">
      <alignment vertical="center"/>
    </xf>
    <xf numFmtId="0" fontId="32" fillId="28" borderId="0" applyNumberFormat="0" applyBorder="0" applyAlignment="0" applyProtection="0">
      <alignment vertical="center"/>
    </xf>
    <xf numFmtId="0" fontId="31" fillId="29" borderId="0" applyNumberFormat="0" applyBorder="0" applyAlignment="0" applyProtection="0">
      <alignment vertical="center"/>
    </xf>
    <xf numFmtId="0" fontId="31" fillId="30" borderId="0" applyNumberFormat="0" applyBorder="0" applyAlignment="0" applyProtection="0">
      <alignment vertical="center"/>
    </xf>
    <xf numFmtId="0" fontId="32" fillId="31" borderId="0" applyNumberFormat="0" applyBorder="0" applyAlignment="0" applyProtection="0">
      <alignment vertical="center"/>
    </xf>
    <xf numFmtId="0" fontId="32" fillId="32" borderId="0" applyNumberFormat="0" applyBorder="0" applyAlignment="0" applyProtection="0">
      <alignment vertical="center"/>
    </xf>
    <xf numFmtId="0" fontId="31" fillId="33" borderId="0" applyNumberFormat="0" applyBorder="0" applyAlignment="0" applyProtection="0">
      <alignment vertical="center"/>
    </xf>
  </cellStyleXfs>
  <cellXfs count="71">
    <xf numFmtId="0" fontId="0" fillId="0" borderId="0" xfId="0">
      <alignment vertical="center"/>
    </xf>
    <xf numFmtId="0" fontId="1" fillId="0" borderId="0" xfId="0" applyFont="1" applyFill="1">
      <alignment vertical="center"/>
    </xf>
    <xf numFmtId="0" fontId="0" fillId="0" borderId="0" xfId="0" applyFill="1">
      <alignment vertical="center"/>
    </xf>
    <xf numFmtId="0" fontId="1" fillId="0" borderId="0" xfId="0" applyFont="1" applyFill="1" applyAlignment="1">
      <alignment vertical="center"/>
    </xf>
    <xf numFmtId="0" fontId="1" fillId="0" borderId="0" xfId="0" applyFont="1" applyFill="1" applyAlignment="1">
      <alignment horizontal="justify" vertical="center"/>
    </xf>
    <xf numFmtId="0" fontId="2" fillId="0" borderId="0" xfId="0" applyFont="1" applyFill="1" applyAlignment="1">
      <alignment horizontal="center" vertical="center" wrapText="1"/>
    </xf>
    <xf numFmtId="0" fontId="3" fillId="0" borderId="0" xfId="0" applyFont="1" applyFill="1" applyAlignment="1">
      <alignment horizontal="left" vertical="center" wrapText="1"/>
    </xf>
    <xf numFmtId="0" fontId="4" fillId="0" borderId="1"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5" fillId="0" borderId="1" xfId="0" applyFont="1" applyFill="1" applyBorder="1" applyAlignment="1">
      <alignment horizontal="justify" vertical="center" wrapText="1"/>
    </xf>
    <xf numFmtId="176" fontId="5" fillId="0" borderId="1" xfId="0" applyNumberFormat="1" applyFont="1" applyFill="1" applyBorder="1" applyAlignment="1">
      <alignment horizontal="center" vertical="center" wrapText="1"/>
    </xf>
    <xf numFmtId="2" fontId="5" fillId="0" borderId="1" xfId="0" applyNumberFormat="1" applyFont="1" applyFill="1" applyBorder="1" applyAlignment="1">
      <alignment horizontal="center" vertical="center" wrapText="1"/>
    </xf>
    <xf numFmtId="0" fontId="6" fillId="0" borderId="1" xfId="0" applyFont="1" applyFill="1" applyBorder="1" applyAlignment="1">
      <alignment horizontal="center" vertical="center"/>
    </xf>
    <xf numFmtId="0" fontId="7" fillId="0" borderId="2" xfId="0" applyFont="1" applyFill="1" applyBorder="1" applyAlignment="1">
      <alignment horizontal="center" vertical="center" wrapText="1"/>
    </xf>
    <xf numFmtId="0" fontId="7" fillId="0" borderId="3" xfId="0" applyFont="1" applyFill="1" applyBorder="1" applyAlignment="1">
      <alignment horizontal="center" vertical="center" wrapText="1"/>
    </xf>
    <xf numFmtId="0" fontId="7" fillId="0" borderId="4" xfId="0" applyFont="1" applyFill="1" applyBorder="1" applyAlignment="1">
      <alignment horizontal="center" vertical="center" wrapText="1"/>
    </xf>
    <xf numFmtId="0" fontId="5" fillId="0" borderId="1" xfId="0" applyFont="1" applyFill="1" applyBorder="1" applyAlignment="1">
      <alignment vertical="center" wrapText="1"/>
    </xf>
    <xf numFmtId="0" fontId="5" fillId="0" borderId="5" xfId="0" applyFont="1" applyFill="1" applyBorder="1" applyAlignment="1">
      <alignment horizontal="center" vertical="center" wrapText="1"/>
    </xf>
    <xf numFmtId="0" fontId="5" fillId="0" borderId="0" xfId="0" applyFont="1" applyFill="1" applyAlignment="1">
      <alignment horizontal="left" vertical="center" wrapText="1"/>
    </xf>
    <xf numFmtId="176" fontId="5" fillId="0" borderId="0" xfId="0" applyNumberFormat="1" applyFont="1" applyFill="1" applyBorder="1" applyAlignment="1">
      <alignment horizontal="center" vertical="center" wrapText="1"/>
    </xf>
    <xf numFmtId="0" fontId="8" fillId="0" borderId="0" xfId="0" applyFont="1" applyFill="1" applyAlignment="1">
      <alignment horizontal="center" vertical="center" wrapText="1"/>
    </xf>
    <xf numFmtId="0" fontId="9" fillId="0" borderId="0" xfId="0" applyFont="1" applyAlignment="1">
      <alignment horizontal="left" vertical="center"/>
    </xf>
    <xf numFmtId="0" fontId="10" fillId="0" borderId="0" xfId="0" applyFont="1" applyAlignment="1">
      <alignment horizontal="center" vertical="center" wrapText="1"/>
    </xf>
    <xf numFmtId="0" fontId="9" fillId="0" borderId="0" xfId="0" applyFont="1" applyAlignment="1">
      <alignment horizontal="center" vertical="center"/>
    </xf>
    <xf numFmtId="0" fontId="11" fillId="0" borderId="6" xfId="0" applyFont="1" applyBorder="1" applyAlignment="1">
      <alignment horizontal="center" vertical="center"/>
    </xf>
    <xf numFmtId="0" fontId="12" fillId="0" borderId="7" xfId="0" applyFont="1" applyBorder="1" applyAlignment="1">
      <alignment horizontal="center" vertical="center"/>
    </xf>
    <xf numFmtId="0" fontId="12" fillId="0" borderId="8" xfId="0" applyFont="1" applyBorder="1" applyAlignment="1">
      <alignment horizontal="center" vertical="center" wrapText="1"/>
    </xf>
    <xf numFmtId="0" fontId="12" fillId="0" borderId="9" xfId="0" applyFont="1" applyBorder="1" applyAlignment="1">
      <alignment horizontal="center" vertical="center" wrapText="1"/>
    </xf>
    <xf numFmtId="0" fontId="12" fillId="0" borderId="10" xfId="0" applyFont="1" applyBorder="1" applyAlignment="1">
      <alignment horizontal="center" vertical="center" wrapText="1"/>
    </xf>
    <xf numFmtId="0" fontId="12" fillId="0" borderId="11" xfId="0" applyFont="1" applyBorder="1" applyAlignment="1">
      <alignment horizontal="center" vertical="center" wrapText="1"/>
    </xf>
    <xf numFmtId="0" fontId="12" fillId="0" borderId="9" xfId="0" applyFont="1" applyBorder="1" applyAlignment="1">
      <alignment horizontal="center" vertical="center"/>
    </xf>
    <xf numFmtId="0" fontId="12" fillId="0" borderId="10" xfId="0" applyFont="1" applyBorder="1" applyAlignment="1">
      <alignment horizontal="center" vertical="center"/>
    </xf>
    <xf numFmtId="0" fontId="12" fillId="0" borderId="11" xfId="0" applyFont="1" applyBorder="1" applyAlignment="1">
      <alignment horizontal="center" vertical="center"/>
    </xf>
    <xf numFmtId="0" fontId="12" fillId="0" borderId="12" xfId="0" applyFont="1" applyBorder="1" applyAlignment="1">
      <alignment horizontal="center" vertical="center" wrapText="1"/>
    </xf>
    <xf numFmtId="0" fontId="12" fillId="0" borderId="13" xfId="0" applyFont="1" applyBorder="1" applyAlignment="1">
      <alignment horizontal="center" vertical="center"/>
    </xf>
    <xf numFmtId="0" fontId="12" fillId="0" borderId="14" xfId="0" applyFont="1" applyBorder="1" applyAlignment="1">
      <alignment horizontal="center" vertical="center" wrapText="1"/>
    </xf>
    <xf numFmtId="0" fontId="12" fillId="0" borderId="15" xfId="0" applyFont="1" applyBorder="1" applyAlignment="1">
      <alignment horizontal="center" vertical="center" wrapText="1"/>
    </xf>
    <xf numFmtId="0" fontId="12" fillId="0" borderId="3" xfId="0" applyFont="1" applyBorder="1" applyAlignment="1">
      <alignment horizontal="center" vertical="center" wrapText="1"/>
    </xf>
    <xf numFmtId="0" fontId="12" fillId="0" borderId="4" xfId="0" applyFont="1" applyBorder="1" applyAlignment="1">
      <alignment horizontal="center" vertical="center" wrapText="1"/>
    </xf>
    <xf numFmtId="0" fontId="12" fillId="0" borderId="2" xfId="0" applyFont="1" applyBorder="1" applyAlignment="1">
      <alignment horizontal="center" vertical="center" wrapText="1"/>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2" fillId="2" borderId="2" xfId="0" applyFont="1" applyFill="1" applyBorder="1" applyAlignment="1">
      <alignment horizontal="center" vertical="center" wrapText="1"/>
    </xf>
    <xf numFmtId="0" fontId="12" fillId="2" borderId="3" xfId="0" applyFont="1" applyFill="1" applyBorder="1" applyAlignment="1">
      <alignment horizontal="center" vertical="center" wrapText="1"/>
    </xf>
    <xf numFmtId="0" fontId="12" fillId="2" borderId="4" xfId="0" applyFont="1" applyFill="1" applyBorder="1" applyAlignment="1">
      <alignment horizontal="center" vertical="center" wrapText="1"/>
    </xf>
    <xf numFmtId="0" fontId="12" fillId="2" borderId="16" xfId="0" applyFont="1" applyFill="1" applyBorder="1" applyAlignment="1">
      <alignment horizontal="center" vertical="center" wrapText="1"/>
    </xf>
    <xf numFmtId="0" fontId="12" fillId="0" borderId="1" xfId="0" applyFont="1" applyBorder="1" applyAlignment="1">
      <alignment horizontal="center" vertical="center" wrapText="1"/>
    </xf>
    <xf numFmtId="0" fontId="12" fillId="0" borderId="17" xfId="0" applyFont="1" applyBorder="1" applyAlignment="1">
      <alignment horizontal="center" vertical="center" wrapText="1"/>
    </xf>
    <xf numFmtId="0" fontId="12" fillId="0" borderId="18" xfId="0" applyFont="1" applyBorder="1" applyAlignment="1">
      <alignment horizontal="center" vertical="center" wrapText="1"/>
    </xf>
    <xf numFmtId="0" fontId="12" fillId="0" borderId="16" xfId="0" applyFont="1" applyBorder="1" applyAlignment="1">
      <alignment horizontal="center" vertical="center" wrapText="1"/>
    </xf>
    <xf numFmtId="0" fontId="12" fillId="2" borderId="0" xfId="0" applyFont="1" applyFill="1" applyAlignment="1">
      <alignment horizontal="center" vertical="center" wrapText="1"/>
    </xf>
    <xf numFmtId="0" fontId="12" fillId="2" borderId="19" xfId="0" applyFont="1" applyFill="1" applyBorder="1" applyAlignment="1">
      <alignment horizontal="center" vertical="center" wrapText="1"/>
    </xf>
    <xf numFmtId="0" fontId="12" fillId="2" borderId="14" xfId="0" applyFont="1" applyFill="1" applyBorder="1" applyAlignment="1">
      <alignment horizontal="center" vertical="center" wrapText="1"/>
    </xf>
    <xf numFmtId="0" fontId="12" fillId="0" borderId="20" xfId="0" applyFont="1" applyBorder="1" applyAlignment="1">
      <alignment horizontal="center" vertical="center"/>
    </xf>
    <xf numFmtId="0" fontId="12" fillId="0" borderId="21" xfId="0" applyFont="1" applyBorder="1" applyAlignment="1">
      <alignment horizontal="center" vertical="center" wrapText="1"/>
    </xf>
    <xf numFmtId="0" fontId="12" fillId="0" borderId="22" xfId="0" applyFont="1" applyBorder="1" applyAlignment="1">
      <alignment horizontal="center" vertical="center" wrapText="1"/>
    </xf>
    <xf numFmtId="0" fontId="12" fillId="2" borderId="21" xfId="0" applyFont="1" applyFill="1" applyBorder="1" applyAlignment="1">
      <alignment horizontal="center" vertical="center" wrapText="1"/>
    </xf>
    <xf numFmtId="0" fontId="11" fillId="0" borderId="23" xfId="0" applyFont="1" applyBorder="1" applyAlignment="1">
      <alignment horizontal="center" vertical="center"/>
    </xf>
    <xf numFmtId="0" fontId="11" fillId="0" borderId="1" xfId="0" applyFont="1" applyBorder="1" applyAlignment="1">
      <alignment horizontal="center" vertical="center"/>
    </xf>
    <xf numFmtId="0" fontId="11" fillId="0" borderId="1" xfId="0" applyFont="1" applyBorder="1" applyAlignment="1">
      <alignment horizontal="left" vertical="center" wrapText="1"/>
    </xf>
    <xf numFmtId="0" fontId="11" fillId="0" borderId="17" xfId="0" applyFont="1" applyBorder="1">
      <alignment vertical="center"/>
    </xf>
    <xf numFmtId="0" fontId="11" fillId="0" borderId="1" xfId="0" applyFont="1" applyBorder="1" applyAlignment="1">
      <alignment horizontal="center" vertical="center" wrapText="1"/>
    </xf>
    <xf numFmtId="0" fontId="11" fillId="0" borderId="24" xfId="0" applyFont="1" applyBorder="1" applyAlignment="1">
      <alignment horizontal="center" vertical="center"/>
    </xf>
    <xf numFmtId="0" fontId="11" fillId="0" borderId="25" xfId="0" applyFont="1" applyBorder="1" applyAlignment="1">
      <alignment horizontal="center" vertical="center"/>
    </xf>
    <xf numFmtId="0" fontId="11" fillId="0" borderId="26" xfId="0" applyFont="1" applyBorder="1">
      <alignment vertical="center"/>
    </xf>
    <xf numFmtId="0" fontId="11" fillId="0" borderId="27" xfId="0" applyFont="1" applyBorder="1">
      <alignment vertical="center"/>
    </xf>
    <xf numFmtId="0" fontId="9" fillId="0" borderId="28" xfId="0" applyFont="1" applyBorder="1" applyAlignment="1">
      <alignment horizontal="left" vertical="center"/>
    </xf>
    <xf numFmtId="0" fontId="9" fillId="0" borderId="0" xfId="0" applyFont="1" applyAlignment="1">
      <alignment horizontal="left" vertical="center" wrapText="1"/>
    </xf>
    <xf numFmtId="0" fontId="13" fillId="0" borderId="0" xfId="0" applyFont="1" applyAlignment="1">
      <alignment vertical="top" wrapText="1"/>
    </xf>
    <xf numFmtId="0" fontId="9" fillId="0" borderId="0" xfId="0" applyFont="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3"/>
  <sheetViews>
    <sheetView topLeftCell="A2" workbookViewId="0">
      <selection activeCell="C4" sqref="C4:E4"/>
    </sheetView>
  </sheetViews>
  <sheetFormatPr defaultColWidth="9" defaultRowHeight="14.4"/>
  <cols>
    <col min="1" max="1" width="10.8796296296296" customWidth="1"/>
    <col min="4" max="4" width="8.25" customWidth="1"/>
    <col min="5" max="5" width="8" customWidth="1"/>
    <col min="7" max="7" width="8.25" customWidth="1"/>
    <col min="8" max="8" width="6.62962962962963" customWidth="1"/>
    <col min="11" max="11" width="11.25" customWidth="1"/>
    <col min="12" max="12" width="7.62962962962963" customWidth="1"/>
    <col min="13" max="13" width="7.37962962962963" customWidth="1"/>
    <col min="14" max="17" width="7.12962962962963" customWidth="1"/>
    <col min="18" max="18" width="8" customWidth="1"/>
    <col min="19" max="19" width="11.25" customWidth="1"/>
    <col min="20" max="20" width="7.5" customWidth="1"/>
    <col min="21" max="21" width="5.25" customWidth="1"/>
    <col min="23" max="23" width="7.5" customWidth="1"/>
  </cols>
  <sheetData>
    <row r="1" ht="34.5" customHeight="1" spans="1:26">
      <c r="A1" s="21" t="s">
        <v>0</v>
      </c>
      <c r="B1" s="21"/>
    </row>
    <row r="2" ht="50.25" customHeight="1" spans="1:26">
      <c r="A2" s="22" t="s">
        <v>1</v>
      </c>
      <c r="B2" s="22"/>
      <c r="C2" s="22"/>
      <c r="D2" s="22"/>
      <c r="E2" s="22"/>
      <c r="F2" s="22"/>
      <c r="G2" s="22"/>
      <c r="H2" s="22"/>
      <c r="I2" s="22"/>
      <c r="J2" s="22"/>
      <c r="K2" s="22"/>
      <c r="L2" s="22"/>
      <c r="M2" s="22"/>
      <c r="N2" s="22"/>
      <c r="O2" s="22"/>
      <c r="P2" s="22"/>
      <c r="Q2" s="22"/>
      <c r="R2" s="22"/>
      <c r="S2" s="22"/>
      <c r="T2" s="22"/>
      <c r="U2" s="22"/>
      <c r="V2" s="22"/>
      <c r="W2" s="22"/>
      <c r="X2" s="22"/>
      <c r="Y2" s="22"/>
      <c r="Z2" s="22"/>
    </row>
    <row r="3" ht="45.75" customHeight="1" spans="1:26">
      <c r="A3" s="21" t="s">
        <v>2</v>
      </c>
      <c r="B3" s="21"/>
      <c r="C3" s="21"/>
      <c r="D3" s="21"/>
      <c r="E3" s="21"/>
      <c r="F3" s="21"/>
      <c r="G3" s="21"/>
      <c r="H3" s="21"/>
      <c r="I3" s="23" t="s">
        <v>3</v>
      </c>
      <c r="J3" s="23"/>
      <c r="K3" s="23"/>
      <c r="L3" s="23"/>
      <c r="M3" s="23"/>
      <c r="N3" s="23"/>
      <c r="O3" s="23"/>
      <c r="P3" s="23"/>
      <c r="Q3" s="23"/>
      <c r="R3" s="23"/>
      <c r="S3" s="23"/>
      <c r="T3" s="23"/>
      <c r="U3" s="23"/>
      <c r="V3" s="23"/>
      <c r="W3" s="24" t="s">
        <v>4</v>
      </c>
      <c r="X3" s="24"/>
      <c r="Y3" s="24"/>
      <c r="Z3" s="24"/>
    </row>
    <row r="4" ht="42" customHeight="1" spans="1:26">
      <c r="A4" s="25" t="s">
        <v>5</v>
      </c>
      <c r="B4" s="26" t="s">
        <v>6</v>
      </c>
      <c r="C4" s="27" t="s">
        <v>7</v>
      </c>
      <c r="D4" s="28"/>
      <c r="E4" s="29"/>
      <c r="F4" s="30" t="s">
        <v>8</v>
      </c>
      <c r="G4" s="31"/>
      <c r="H4" s="31"/>
      <c r="I4" s="31"/>
      <c r="J4" s="31"/>
      <c r="K4" s="31"/>
      <c r="L4" s="31"/>
      <c r="M4" s="31"/>
      <c r="N4" s="31"/>
      <c r="O4" s="31"/>
      <c r="P4" s="31"/>
      <c r="Q4" s="31"/>
      <c r="R4" s="31"/>
      <c r="S4" s="31"/>
      <c r="T4" s="31"/>
      <c r="U4" s="31"/>
      <c r="V4" s="32"/>
      <c r="W4" s="27" t="s">
        <v>9</v>
      </c>
      <c r="X4" s="28"/>
      <c r="Y4" s="29"/>
      <c r="Z4" s="33" t="s">
        <v>10</v>
      </c>
    </row>
    <row r="5" ht="30" customHeight="1" spans="1:26">
      <c r="A5" s="34"/>
      <c r="B5" s="35"/>
      <c r="C5" s="36" t="s">
        <v>11</v>
      </c>
      <c r="D5" s="37"/>
      <c r="E5" s="38"/>
      <c r="F5" s="39" t="s">
        <v>12</v>
      </c>
      <c r="G5" s="37"/>
      <c r="H5" s="37"/>
      <c r="I5" s="38"/>
      <c r="J5" s="40" t="s">
        <v>13</v>
      </c>
      <c r="K5" s="41"/>
      <c r="L5" s="41"/>
      <c r="M5" s="41"/>
      <c r="N5" s="42"/>
      <c r="O5" s="43" t="s">
        <v>14</v>
      </c>
      <c r="P5" s="44"/>
      <c r="Q5" s="44"/>
      <c r="R5" s="44"/>
      <c r="S5" s="44"/>
      <c r="T5" s="44"/>
      <c r="U5" s="44"/>
      <c r="V5" s="45"/>
      <c r="W5" s="46" t="s">
        <v>15</v>
      </c>
      <c r="X5" s="47" t="s">
        <v>16</v>
      </c>
      <c r="Y5" s="47" t="s">
        <v>17</v>
      </c>
      <c r="Z5" s="48"/>
    </row>
    <row r="6" ht="30" customHeight="1" spans="1:26">
      <c r="A6" s="34"/>
      <c r="B6" s="35"/>
      <c r="C6" s="49"/>
      <c r="D6" s="50" t="s">
        <v>18</v>
      </c>
      <c r="E6" s="50" t="s">
        <v>19</v>
      </c>
      <c r="F6" s="49" t="s">
        <v>20</v>
      </c>
      <c r="G6" s="44"/>
      <c r="H6" s="51"/>
      <c r="I6" s="35" t="s">
        <v>21</v>
      </c>
      <c r="J6" s="36" t="s">
        <v>22</v>
      </c>
      <c r="K6" s="38"/>
      <c r="L6" s="50" t="s">
        <v>23</v>
      </c>
      <c r="M6" s="46" t="s">
        <v>24</v>
      </c>
      <c r="N6" s="50" t="s">
        <v>25</v>
      </c>
      <c r="O6" s="52" t="s">
        <v>26</v>
      </c>
      <c r="P6" s="46" t="s">
        <v>27</v>
      </c>
      <c r="Q6" s="46" t="s">
        <v>28</v>
      </c>
      <c r="R6" s="46" t="s">
        <v>29</v>
      </c>
      <c r="S6" s="46" t="s">
        <v>30</v>
      </c>
      <c r="T6" s="46" t="s">
        <v>31</v>
      </c>
      <c r="U6" s="46" t="s">
        <v>32</v>
      </c>
      <c r="V6" s="46" t="s">
        <v>33</v>
      </c>
      <c r="W6" s="53"/>
      <c r="X6" s="47"/>
      <c r="Y6" s="47"/>
      <c r="Z6" s="48"/>
    </row>
    <row r="7" ht="89.25" customHeight="1" spans="1:26">
      <c r="A7" s="54"/>
      <c r="B7" s="55"/>
      <c r="C7" s="56"/>
      <c r="D7" s="55"/>
      <c r="E7" s="55"/>
      <c r="F7" s="56"/>
      <c r="G7" s="47" t="s">
        <v>34</v>
      </c>
      <c r="H7" s="47" t="s">
        <v>35</v>
      </c>
      <c r="I7" s="55"/>
      <c r="J7" s="56"/>
      <c r="K7" s="50" t="s">
        <v>36</v>
      </c>
      <c r="L7" s="55"/>
      <c r="M7" s="57"/>
      <c r="N7" s="55"/>
      <c r="O7" s="57"/>
      <c r="P7" s="57"/>
      <c r="Q7" s="57"/>
      <c r="R7" s="57"/>
      <c r="S7" s="57"/>
      <c r="T7" s="57"/>
      <c r="U7" s="57"/>
      <c r="V7" s="57"/>
      <c r="W7" s="57"/>
      <c r="X7" s="47"/>
      <c r="Y7" s="47"/>
      <c r="Z7" s="48"/>
    </row>
    <row r="8" ht="30" customHeight="1" spans="1:26">
      <c r="A8" s="58"/>
      <c r="B8" s="59"/>
      <c r="C8" s="59"/>
      <c r="D8" s="59"/>
      <c r="E8" s="59"/>
      <c r="F8" s="59"/>
      <c r="G8" s="59"/>
      <c r="H8" s="59"/>
      <c r="I8" s="59"/>
      <c r="J8" s="59"/>
      <c r="K8" s="59"/>
      <c r="L8" s="59"/>
      <c r="M8" s="60"/>
      <c r="N8" s="60"/>
      <c r="O8" s="60"/>
      <c r="P8" s="60"/>
      <c r="Q8" s="60"/>
      <c r="R8" s="60"/>
      <c r="S8" s="60"/>
      <c r="T8" s="60"/>
      <c r="U8" s="60"/>
      <c r="V8" s="59"/>
      <c r="W8" s="59"/>
      <c r="X8" s="59"/>
      <c r="Y8" s="59"/>
      <c r="Z8" s="61"/>
    </row>
    <row r="9" ht="30" customHeight="1" spans="1:26">
      <c r="A9" s="58"/>
      <c r="B9" s="59"/>
      <c r="C9" s="59"/>
      <c r="D9" s="59"/>
      <c r="E9" s="59"/>
      <c r="F9" s="59"/>
      <c r="G9" s="59"/>
      <c r="H9" s="59"/>
      <c r="I9" s="59"/>
      <c r="J9" s="59"/>
      <c r="K9" s="59"/>
      <c r="L9" s="59"/>
      <c r="M9" s="60"/>
      <c r="N9" s="60"/>
      <c r="O9" s="60"/>
      <c r="P9" s="60"/>
      <c r="Q9" s="60"/>
      <c r="R9" s="60"/>
      <c r="S9" s="60"/>
      <c r="T9" s="60"/>
      <c r="U9" s="60"/>
      <c r="V9" s="59"/>
      <c r="W9" s="59"/>
      <c r="X9" s="59"/>
      <c r="Y9" s="59"/>
      <c r="Z9" s="61"/>
    </row>
    <row r="10" ht="30" customHeight="1" spans="1:26">
      <c r="A10" s="58"/>
      <c r="B10" s="62"/>
      <c r="C10" s="59"/>
      <c r="D10" s="59"/>
      <c r="E10" s="59"/>
      <c r="F10" s="59"/>
      <c r="G10" s="59"/>
      <c r="H10" s="59"/>
      <c r="I10" s="59"/>
      <c r="J10" s="59"/>
      <c r="K10" s="59"/>
      <c r="L10" s="59"/>
      <c r="M10" s="60"/>
      <c r="N10" s="60"/>
      <c r="O10" s="60"/>
      <c r="P10" s="60"/>
      <c r="Q10" s="60"/>
      <c r="R10" s="60"/>
      <c r="S10" s="60"/>
      <c r="T10" s="60"/>
      <c r="U10" s="60"/>
      <c r="V10" s="59"/>
      <c r="W10" s="59"/>
      <c r="X10" s="59"/>
      <c r="Y10" s="59"/>
      <c r="Z10" s="61"/>
    </row>
    <row r="11" ht="30" customHeight="1" spans="1:26">
      <c r="A11" s="63" t="s">
        <v>37</v>
      </c>
      <c r="B11" s="64"/>
      <c r="C11" s="65"/>
      <c r="D11" s="65"/>
      <c r="E11" s="65"/>
      <c r="F11" s="65"/>
      <c r="G11" s="65"/>
      <c r="H11" s="65"/>
      <c r="I11" s="65"/>
      <c r="J11" s="65"/>
      <c r="K11" s="65"/>
      <c r="L11" s="65"/>
      <c r="M11" s="65"/>
      <c r="N11" s="65"/>
      <c r="O11" s="65"/>
      <c r="P11" s="65"/>
      <c r="Q11" s="65"/>
      <c r="R11" s="65"/>
      <c r="S11" s="65"/>
      <c r="T11" s="65"/>
      <c r="U11" s="65"/>
      <c r="V11" s="65"/>
      <c r="W11" s="65"/>
      <c r="X11" s="65"/>
      <c r="Y11" s="65"/>
      <c r="Z11" s="66"/>
    </row>
    <row r="12" ht="55.5" customHeight="1" spans="1:26">
      <c r="A12" s="21" t="s">
        <v>38</v>
      </c>
      <c r="B12" s="21"/>
      <c r="C12" s="67" t="s">
        <v>39</v>
      </c>
      <c r="D12" s="67"/>
      <c r="E12" s="67"/>
      <c r="F12" s="67"/>
      <c r="G12" s="67"/>
      <c r="H12" s="67"/>
      <c r="I12" s="68" t="s">
        <v>40</v>
      </c>
      <c r="J12" s="68"/>
      <c r="K12" s="68"/>
      <c r="L12" s="68"/>
      <c r="M12" s="68"/>
      <c r="N12" s="68"/>
      <c r="O12" s="68" t="s">
        <v>41</v>
      </c>
      <c r="P12" s="68"/>
      <c r="Q12" s="68"/>
      <c r="R12" s="68"/>
      <c r="S12" s="68"/>
      <c r="T12" s="68"/>
      <c r="U12" s="68"/>
      <c r="V12" s="68"/>
      <c r="W12" s="21" t="s">
        <v>42</v>
      </c>
      <c r="X12" s="21"/>
      <c r="Y12" s="21"/>
      <c r="Z12" s="21"/>
    </row>
    <row r="13" ht="92.25" customHeight="1" spans="1:26">
      <c r="A13" s="69" t="s">
        <v>43</v>
      </c>
      <c r="B13" s="70"/>
      <c r="C13" s="70"/>
      <c r="D13" s="70"/>
      <c r="E13" s="70"/>
      <c r="F13" s="70"/>
      <c r="G13" s="70"/>
      <c r="H13" s="70"/>
      <c r="I13" s="70"/>
      <c r="J13" s="70"/>
      <c r="K13" s="70"/>
      <c r="L13" s="70"/>
      <c r="M13" s="70"/>
      <c r="N13" s="70"/>
      <c r="O13" s="70"/>
      <c r="P13" s="70"/>
      <c r="Q13" s="70"/>
      <c r="R13" s="70"/>
      <c r="S13" s="70"/>
      <c r="T13" s="70"/>
      <c r="U13" s="70"/>
      <c r="V13" s="70"/>
      <c r="W13" s="70"/>
      <c r="X13" s="70"/>
      <c r="Y13" s="70"/>
      <c r="Z13" s="70"/>
    </row>
  </sheetData>
  <mergeCells count="41">
    <mergeCell ref="A1:B1"/>
    <mergeCell ref="A2:Z2"/>
    <mergeCell ref="A3:G3"/>
    <mergeCell ref="I3:V3"/>
    <mergeCell ref="W3:Z3"/>
    <mergeCell ref="C4:E4"/>
    <mergeCell ref="F4:V4"/>
    <mergeCell ref="W4:Y4"/>
    <mergeCell ref="D5:E5"/>
    <mergeCell ref="F5:I5"/>
    <mergeCell ref="J5:N5"/>
    <mergeCell ref="O5:V5"/>
    <mergeCell ref="A12:B12"/>
    <mergeCell ref="C12:H12"/>
    <mergeCell ref="I12:N12"/>
    <mergeCell ref="O12:V12"/>
    <mergeCell ref="W12:Z12"/>
    <mergeCell ref="A13:Z13"/>
    <mergeCell ref="A4:A7"/>
    <mergeCell ref="B4:B7"/>
    <mergeCell ref="C5:C7"/>
    <mergeCell ref="D6:D7"/>
    <mergeCell ref="E6:E7"/>
    <mergeCell ref="F6:F7"/>
    <mergeCell ref="I6:I7"/>
    <mergeCell ref="J6:J7"/>
    <mergeCell ref="L6:L7"/>
    <mergeCell ref="M6:M7"/>
    <mergeCell ref="N6:N7"/>
    <mergeCell ref="O6:O7"/>
    <mergeCell ref="P6:P7"/>
    <mergeCell ref="Q6:Q7"/>
    <mergeCell ref="R6:R7"/>
    <mergeCell ref="S6:S7"/>
    <mergeCell ref="T6:T7"/>
    <mergeCell ref="U6:U7"/>
    <mergeCell ref="V6:V7"/>
    <mergeCell ref="W5:W7"/>
    <mergeCell ref="X5:X7"/>
    <mergeCell ref="Y5:Y7"/>
    <mergeCell ref="Z4:Z7"/>
  </mergeCells>
  <pageMargins left="0.699305555555556" right="0.699305555555556"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37"/>
  <sheetViews>
    <sheetView tabSelected="1" view="pageBreakPreview" zoomScale="70" zoomScaleNormal="70" workbookViewId="0">
      <selection activeCell="P5" sqref="P5"/>
    </sheetView>
  </sheetViews>
  <sheetFormatPr defaultColWidth="9" defaultRowHeight="14.4"/>
  <cols>
    <col min="1" max="1" width="7.62037037037037" style="1" customWidth="1"/>
    <col min="2" max="3" width="14.8888888888889" style="1" customWidth="1"/>
    <col min="4" max="4" width="13" style="1" customWidth="1"/>
    <col min="5" max="5" width="18.5" style="1" customWidth="1"/>
    <col min="6" max="6" width="11.8796296296296" style="1" customWidth="1"/>
    <col min="7" max="7" width="39" style="1" customWidth="1"/>
    <col min="8" max="8" width="9.88888888888889" style="1" customWidth="1"/>
    <col min="9" max="9" width="15.1111111111111" style="1" customWidth="1"/>
    <col min="10" max="10" width="13" style="1" customWidth="1"/>
    <col min="11" max="11" width="33.1111111111111" style="4" customWidth="1"/>
    <col min="12" max="12" width="8.22222222222222" style="1" customWidth="1"/>
    <col min="13" max="13" width="21.75" style="1" customWidth="1"/>
    <col min="14" max="16384" width="9" style="1"/>
  </cols>
  <sheetData>
    <row r="1" ht="49" customHeight="1" spans="1:13">
      <c r="A1" s="5" t="s">
        <v>44</v>
      </c>
      <c r="B1" s="5"/>
      <c r="C1" s="5"/>
      <c r="D1" s="5"/>
      <c r="E1" s="5"/>
      <c r="F1" s="5"/>
      <c r="G1" s="5"/>
      <c r="H1" s="5"/>
      <c r="I1" s="5"/>
      <c r="J1" s="5"/>
      <c r="K1" s="5"/>
      <c r="L1" s="5"/>
      <c r="M1" s="5"/>
    </row>
    <row r="2" ht="41" customHeight="1" spans="1:13">
      <c r="A2" s="6" t="s">
        <v>45</v>
      </c>
      <c r="B2" s="6"/>
      <c r="C2" s="6"/>
      <c r="D2" s="6"/>
      <c r="E2" s="6"/>
      <c r="F2" s="6"/>
      <c r="G2" s="6"/>
      <c r="H2" s="6"/>
      <c r="I2" s="6"/>
      <c r="J2" s="6"/>
      <c r="K2" s="6"/>
      <c r="L2" s="6"/>
      <c r="M2" s="6"/>
    </row>
    <row r="3" ht="29" customHeight="1" spans="1:13">
      <c r="A3" s="6" t="s">
        <v>46</v>
      </c>
      <c r="B3" s="6"/>
      <c r="C3" s="6"/>
      <c r="D3" s="6"/>
      <c r="E3" s="6"/>
      <c r="F3" s="6"/>
      <c r="G3" s="6"/>
      <c r="H3" s="6"/>
      <c r="I3" s="6"/>
      <c r="J3" s="6"/>
      <c r="K3" s="6"/>
      <c r="L3" s="6"/>
      <c r="M3" s="6"/>
    </row>
    <row r="4" s="1" customFormat="1" ht="54" customHeight="1" spans="1:13">
      <c r="A4" s="7" t="s">
        <v>47</v>
      </c>
      <c r="B4" s="7" t="s">
        <v>48</v>
      </c>
      <c r="C4" s="7" t="s">
        <v>49</v>
      </c>
      <c r="D4" s="7" t="s">
        <v>50</v>
      </c>
      <c r="E4" s="7" t="s">
        <v>51</v>
      </c>
      <c r="F4" s="7" t="s">
        <v>52</v>
      </c>
      <c r="G4" s="7" t="s">
        <v>53</v>
      </c>
      <c r="H4" s="7" t="s">
        <v>54</v>
      </c>
      <c r="I4" s="7" t="s">
        <v>55</v>
      </c>
      <c r="J4" s="7" t="s">
        <v>56</v>
      </c>
      <c r="K4" s="7" t="s">
        <v>57</v>
      </c>
      <c r="L4" s="7" t="s">
        <v>58</v>
      </c>
      <c r="M4" s="7" t="s">
        <v>10</v>
      </c>
    </row>
    <row r="5" ht="188" customHeight="1" spans="1:13">
      <c r="A5" s="8">
        <v>1</v>
      </c>
      <c r="B5" s="8" t="s">
        <v>59</v>
      </c>
      <c r="C5" s="8" t="s">
        <v>60</v>
      </c>
      <c r="D5" s="8" t="s">
        <v>60</v>
      </c>
      <c r="E5" s="8" t="s">
        <v>61</v>
      </c>
      <c r="F5" s="8" t="s">
        <v>62</v>
      </c>
      <c r="G5" s="9" t="s">
        <v>63</v>
      </c>
      <c r="H5" s="8">
        <v>4</v>
      </c>
      <c r="I5" s="10">
        <v>784</v>
      </c>
      <c r="J5" s="10">
        <v>545.04</v>
      </c>
      <c r="K5" s="9" t="s">
        <v>64</v>
      </c>
      <c r="L5" s="8"/>
      <c r="M5" s="8"/>
    </row>
    <row r="6" ht="121" customHeight="1" spans="1:13">
      <c r="A6" s="8">
        <v>2</v>
      </c>
      <c r="B6" s="8" t="s">
        <v>65</v>
      </c>
      <c r="C6" s="8" t="s">
        <v>66</v>
      </c>
      <c r="D6" s="8" t="s">
        <v>66</v>
      </c>
      <c r="E6" s="8" t="s">
        <v>67</v>
      </c>
      <c r="F6" s="8" t="s">
        <v>68</v>
      </c>
      <c r="G6" s="9" t="s">
        <v>69</v>
      </c>
      <c r="H6" s="8">
        <v>3503</v>
      </c>
      <c r="I6" s="10">
        <v>16676</v>
      </c>
      <c r="J6" s="10">
        <v>11593.16</v>
      </c>
      <c r="K6" s="9" t="s">
        <v>70</v>
      </c>
      <c r="L6" s="8"/>
      <c r="M6" s="8" t="s">
        <v>71</v>
      </c>
    </row>
    <row r="7" ht="179" customHeight="1" spans="1:13">
      <c r="A7" s="8">
        <v>3</v>
      </c>
      <c r="B7" s="8" t="s">
        <v>65</v>
      </c>
      <c r="C7" s="8" t="s">
        <v>72</v>
      </c>
      <c r="D7" s="8" t="s">
        <v>72</v>
      </c>
      <c r="E7" s="8" t="s">
        <v>73</v>
      </c>
      <c r="F7" s="8" t="s">
        <v>74</v>
      </c>
      <c r="G7" s="9" t="s">
        <v>75</v>
      </c>
      <c r="H7" s="8">
        <v>752</v>
      </c>
      <c r="I7" s="11">
        <v>63912.34</v>
      </c>
      <c r="J7" s="10">
        <v>44431.86</v>
      </c>
      <c r="K7" s="9" t="s">
        <v>76</v>
      </c>
      <c r="L7" s="8"/>
      <c r="M7" s="8"/>
    </row>
    <row r="8" s="1" customFormat="1" ht="231" customHeight="1" spans="1:13">
      <c r="A8" s="8">
        <v>4</v>
      </c>
      <c r="B8" s="8" t="s">
        <v>65</v>
      </c>
      <c r="C8" s="8" t="s">
        <v>72</v>
      </c>
      <c r="D8" s="8" t="s">
        <v>72</v>
      </c>
      <c r="E8" s="8" t="s">
        <v>77</v>
      </c>
      <c r="F8" s="8" t="s">
        <v>68</v>
      </c>
      <c r="G8" s="9" t="s">
        <v>78</v>
      </c>
      <c r="H8" s="8">
        <v>16819</v>
      </c>
      <c r="I8" s="10">
        <v>27843.28</v>
      </c>
      <c r="J8" s="10">
        <v>19356.65</v>
      </c>
      <c r="K8" s="9" t="s">
        <v>79</v>
      </c>
      <c r="L8" s="8"/>
      <c r="M8" s="8" t="s">
        <v>80</v>
      </c>
    </row>
    <row r="9" ht="153" customHeight="1" spans="1:13">
      <c r="A9" s="8">
        <v>5</v>
      </c>
      <c r="B9" s="8" t="s">
        <v>65</v>
      </c>
      <c r="C9" s="8" t="s">
        <v>72</v>
      </c>
      <c r="D9" s="8" t="s">
        <v>72</v>
      </c>
      <c r="E9" s="8" t="s">
        <v>81</v>
      </c>
      <c r="F9" s="8" t="s">
        <v>82</v>
      </c>
      <c r="G9" s="9" t="s">
        <v>83</v>
      </c>
      <c r="H9" s="8">
        <v>4323</v>
      </c>
      <c r="I9" s="12">
        <v>10573.32</v>
      </c>
      <c r="J9" s="10">
        <v>7350.57</v>
      </c>
      <c r="K9" s="9" t="s">
        <v>84</v>
      </c>
      <c r="L9" s="8"/>
      <c r="M9" s="8" t="s">
        <v>85</v>
      </c>
    </row>
    <row r="10" s="1" customFormat="1" ht="129" customHeight="1" spans="1:13">
      <c r="A10" s="8">
        <v>6</v>
      </c>
      <c r="B10" s="8" t="s">
        <v>65</v>
      </c>
      <c r="C10" s="8" t="s">
        <v>72</v>
      </c>
      <c r="D10" s="8" t="s">
        <v>60</v>
      </c>
      <c r="E10" s="8" t="s">
        <v>86</v>
      </c>
      <c r="F10" s="8" t="s">
        <v>87</v>
      </c>
      <c r="G10" s="9" t="s">
        <v>88</v>
      </c>
      <c r="H10" s="8">
        <v>1719</v>
      </c>
      <c r="I10" s="10">
        <v>6876</v>
      </c>
      <c r="J10" s="10">
        <v>4780.2</v>
      </c>
      <c r="K10" s="9" t="s">
        <v>89</v>
      </c>
      <c r="L10" s="8"/>
      <c r="M10" s="8"/>
    </row>
    <row r="11" ht="154" customHeight="1" spans="1:13">
      <c r="A11" s="8">
        <v>7</v>
      </c>
      <c r="B11" s="8" t="s">
        <v>65</v>
      </c>
      <c r="C11" s="8" t="s">
        <v>72</v>
      </c>
      <c r="D11" s="8" t="s">
        <v>72</v>
      </c>
      <c r="E11" s="8" t="s">
        <v>90</v>
      </c>
      <c r="F11" s="8" t="s">
        <v>74</v>
      </c>
      <c r="G11" s="9" t="s">
        <v>91</v>
      </c>
      <c r="H11" s="8">
        <v>7</v>
      </c>
      <c r="I11" s="10">
        <v>1421</v>
      </c>
      <c r="J11" s="10">
        <v>987.88</v>
      </c>
      <c r="K11" s="9" t="s">
        <v>92</v>
      </c>
      <c r="L11" s="8"/>
      <c r="M11" s="8"/>
    </row>
    <row r="12" s="1" customFormat="1" ht="185" customHeight="1" spans="1:13">
      <c r="A12" s="8">
        <v>8</v>
      </c>
      <c r="B12" s="8" t="s">
        <v>65</v>
      </c>
      <c r="C12" s="8" t="s">
        <v>93</v>
      </c>
      <c r="D12" s="8" t="s">
        <v>93</v>
      </c>
      <c r="E12" s="8" t="s">
        <v>94</v>
      </c>
      <c r="F12" s="8" t="s">
        <v>74</v>
      </c>
      <c r="G12" s="9" t="s">
        <v>95</v>
      </c>
      <c r="H12" s="8">
        <v>314</v>
      </c>
      <c r="I12" s="10">
        <v>4321.4</v>
      </c>
      <c r="J12" s="10">
        <v>3004.24</v>
      </c>
      <c r="K12" s="9" t="s">
        <v>96</v>
      </c>
      <c r="L12" s="8" t="s">
        <v>97</v>
      </c>
      <c r="M12" s="8" t="s">
        <v>98</v>
      </c>
    </row>
    <row r="13" s="1" customFormat="1" ht="213" customHeight="1" spans="1:13">
      <c r="A13" s="8">
        <v>9</v>
      </c>
      <c r="B13" s="8" t="s">
        <v>65</v>
      </c>
      <c r="C13" s="8" t="s">
        <v>99</v>
      </c>
      <c r="D13" s="8" t="s">
        <v>99</v>
      </c>
      <c r="E13" s="8" t="s">
        <v>100</v>
      </c>
      <c r="F13" s="8" t="s">
        <v>87</v>
      </c>
      <c r="G13" s="9" t="s">
        <v>101</v>
      </c>
      <c r="H13" s="8">
        <v>945</v>
      </c>
      <c r="I13" s="10">
        <v>30379.64</v>
      </c>
      <c r="J13" s="10">
        <v>21119.93</v>
      </c>
      <c r="K13" s="9" t="s">
        <v>102</v>
      </c>
      <c r="L13" s="8" t="s">
        <v>103</v>
      </c>
      <c r="M13" s="8" t="s">
        <v>104</v>
      </c>
    </row>
    <row r="14" s="1" customFormat="1" ht="197" customHeight="1" spans="1:13">
      <c r="A14" s="8">
        <v>10</v>
      </c>
      <c r="B14" s="8" t="s">
        <v>65</v>
      </c>
      <c r="C14" s="8" t="s">
        <v>99</v>
      </c>
      <c r="D14" s="8" t="s">
        <v>99</v>
      </c>
      <c r="E14" s="8" t="s">
        <v>105</v>
      </c>
      <c r="F14" s="8" t="s">
        <v>106</v>
      </c>
      <c r="G14" s="9" t="s">
        <v>107</v>
      </c>
      <c r="H14" s="8">
        <v>560</v>
      </c>
      <c r="I14" s="10">
        <v>24080</v>
      </c>
      <c r="J14" s="10">
        <v>16740.42</v>
      </c>
      <c r="K14" s="9" t="s">
        <v>108</v>
      </c>
      <c r="L14" s="8"/>
      <c r="M14" s="8"/>
    </row>
    <row r="15" s="1" customFormat="1" ht="374" customHeight="1" spans="1:13">
      <c r="A15" s="8">
        <v>11</v>
      </c>
      <c r="B15" s="8" t="s">
        <v>65</v>
      </c>
      <c r="C15" s="8" t="s">
        <v>99</v>
      </c>
      <c r="D15" s="8"/>
      <c r="E15" s="8" t="s">
        <v>109</v>
      </c>
      <c r="F15" s="8"/>
      <c r="G15" s="9" t="s">
        <v>110</v>
      </c>
      <c r="H15" s="8">
        <v>1355</v>
      </c>
      <c r="I15" s="10">
        <v>17018.4</v>
      </c>
      <c r="J15" s="10">
        <v>11831.19</v>
      </c>
      <c r="K15" s="9" t="s">
        <v>111</v>
      </c>
      <c r="L15" s="8" t="s">
        <v>112</v>
      </c>
      <c r="M15" s="8" t="s">
        <v>113</v>
      </c>
    </row>
    <row r="16" s="1" customFormat="1" ht="252" customHeight="1" spans="1:13">
      <c r="A16" s="8">
        <v>12</v>
      </c>
      <c r="B16" s="8" t="s">
        <v>65</v>
      </c>
      <c r="C16" s="8" t="s">
        <v>99</v>
      </c>
      <c r="D16" s="8" t="s">
        <v>99</v>
      </c>
      <c r="E16" s="8" t="s">
        <v>114</v>
      </c>
      <c r="F16" s="8" t="s">
        <v>87</v>
      </c>
      <c r="G16" s="9" t="s">
        <v>115</v>
      </c>
      <c r="H16" s="8">
        <v>967</v>
      </c>
      <c r="I16" s="10">
        <v>13323</v>
      </c>
      <c r="J16" s="10">
        <v>9262.15</v>
      </c>
      <c r="K16" s="9" t="s">
        <v>116</v>
      </c>
      <c r="L16" s="8" t="s">
        <v>117</v>
      </c>
      <c r="M16" s="8" t="s">
        <v>118</v>
      </c>
    </row>
    <row r="17" s="1" customFormat="1" ht="139" customHeight="1" spans="1:13">
      <c r="A17" s="8">
        <v>13</v>
      </c>
      <c r="B17" s="8" t="s">
        <v>65</v>
      </c>
      <c r="C17" s="8" t="s">
        <v>99</v>
      </c>
      <c r="D17" s="8" t="s">
        <v>99</v>
      </c>
      <c r="E17" s="8" t="s">
        <v>119</v>
      </c>
      <c r="F17" s="8" t="s">
        <v>120</v>
      </c>
      <c r="G17" s="9" t="s">
        <v>121</v>
      </c>
      <c r="H17" s="8">
        <v>217.5</v>
      </c>
      <c r="I17" s="10">
        <v>7395</v>
      </c>
      <c r="J17" s="10">
        <v>5141</v>
      </c>
      <c r="K17" s="9" t="s">
        <v>122</v>
      </c>
      <c r="L17" s="8"/>
      <c r="M17" s="8"/>
    </row>
    <row r="18" s="1" customFormat="1" ht="372" customHeight="1" spans="1:13">
      <c r="A18" s="8">
        <v>14</v>
      </c>
      <c r="B18" s="8" t="s">
        <v>65</v>
      </c>
      <c r="C18" s="8" t="s">
        <v>99</v>
      </c>
      <c r="D18" s="8" t="s">
        <v>99</v>
      </c>
      <c r="E18" s="8" t="s">
        <v>123</v>
      </c>
      <c r="F18" s="8" t="s">
        <v>124</v>
      </c>
      <c r="G18" s="9" t="s">
        <v>125</v>
      </c>
      <c r="H18" s="8">
        <v>15</v>
      </c>
      <c r="I18" s="12">
        <v>1220</v>
      </c>
      <c r="J18" s="10">
        <v>848.14</v>
      </c>
      <c r="K18" s="9" t="s">
        <v>126</v>
      </c>
      <c r="L18" s="8"/>
      <c r="M18" s="8"/>
    </row>
    <row r="19" s="1" customFormat="1" ht="120" customHeight="1" spans="1:13">
      <c r="A19" s="8">
        <v>15</v>
      </c>
      <c r="B19" s="8" t="s">
        <v>65</v>
      </c>
      <c r="C19" s="8" t="s">
        <v>99</v>
      </c>
      <c r="D19" s="8" t="s">
        <v>99</v>
      </c>
      <c r="E19" s="8" t="s">
        <v>127</v>
      </c>
      <c r="F19" s="8" t="s">
        <v>68</v>
      </c>
      <c r="G19" s="9" t="s">
        <v>128</v>
      </c>
      <c r="H19" s="8">
        <v>19</v>
      </c>
      <c r="I19" s="10">
        <v>1065</v>
      </c>
      <c r="J19" s="10">
        <v>740.39</v>
      </c>
      <c r="K19" s="9" t="s">
        <v>129</v>
      </c>
      <c r="L19" s="8" t="s">
        <v>130</v>
      </c>
      <c r="M19" s="8"/>
    </row>
    <row r="20" s="1" customFormat="1" ht="141" customHeight="1" spans="1:13">
      <c r="A20" s="8">
        <v>16</v>
      </c>
      <c r="B20" s="8" t="s">
        <v>65</v>
      </c>
      <c r="C20" s="8" t="s">
        <v>99</v>
      </c>
      <c r="D20" s="8" t="s">
        <v>99</v>
      </c>
      <c r="E20" s="8" t="s">
        <v>131</v>
      </c>
      <c r="F20" s="8" t="s">
        <v>124</v>
      </c>
      <c r="G20" s="9" t="s">
        <v>132</v>
      </c>
      <c r="H20" s="8">
        <v>7</v>
      </c>
      <c r="I20" s="12">
        <v>694</v>
      </c>
      <c r="J20" s="10">
        <v>482.47</v>
      </c>
      <c r="K20" s="9" t="s">
        <v>133</v>
      </c>
      <c r="L20" s="8"/>
      <c r="M20" s="8"/>
    </row>
    <row r="21" s="1" customFormat="1" ht="113" customHeight="1" spans="1:13">
      <c r="A21" s="8">
        <v>17</v>
      </c>
      <c r="B21" s="8" t="s">
        <v>65</v>
      </c>
      <c r="C21" s="8" t="s">
        <v>99</v>
      </c>
      <c r="D21" s="8" t="s">
        <v>99</v>
      </c>
      <c r="E21" s="8" t="s">
        <v>134</v>
      </c>
      <c r="F21" s="8" t="s">
        <v>68</v>
      </c>
      <c r="G21" s="9" t="s">
        <v>135</v>
      </c>
      <c r="H21" s="8">
        <v>15</v>
      </c>
      <c r="I21" s="10">
        <v>684</v>
      </c>
      <c r="J21" s="10">
        <v>475.52</v>
      </c>
      <c r="K21" s="9" t="s">
        <v>129</v>
      </c>
      <c r="L21" s="8" t="s">
        <v>130</v>
      </c>
      <c r="M21" s="8"/>
    </row>
    <row r="22" s="1" customFormat="1" ht="103" customHeight="1" spans="1:13">
      <c r="A22" s="8">
        <v>18</v>
      </c>
      <c r="B22" s="8" t="s">
        <v>65</v>
      </c>
      <c r="C22" s="8" t="s">
        <v>99</v>
      </c>
      <c r="D22" s="8" t="s">
        <v>99</v>
      </c>
      <c r="E22" s="8" t="s">
        <v>136</v>
      </c>
      <c r="F22" s="8" t="s">
        <v>68</v>
      </c>
      <c r="G22" s="9" t="s">
        <v>137</v>
      </c>
      <c r="H22" s="8">
        <v>14</v>
      </c>
      <c r="I22" s="12">
        <v>634</v>
      </c>
      <c r="J22" s="10">
        <v>440.76</v>
      </c>
      <c r="K22" s="9" t="s">
        <v>138</v>
      </c>
      <c r="L22" s="8"/>
      <c r="M22" s="8"/>
    </row>
    <row r="23" s="1" customFormat="1" ht="230" customHeight="1" spans="1:13">
      <c r="A23" s="8">
        <v>19</v>
      </c>
      <c r="B23" s="8" t="s">
        <v>65</v>
      </c>
      <c r="C23" s="8" t="s">
        <v>99</v>
      </c>
      <c r="D23" s="8" t="s">
        <v>99</v>
      </c>
      <c r="E23" s="8" t="s">
        <v>139</v>
      </c>
      <c r="F23" s="8" t="s">
        <v>74</v>
      </c>
      <c r="G23" s="9" t="s">
        <v>140</v>
      </c>
      <c r="H23" s="8">
        <v>3</v>
      </c>
      <c r="I23" s="10">
        <v>195</v>
      </c>
      <c r="J23" s="10">
        <v>135.56</v>
      </c>
      <c r="K23" s="9" t="s">
        <v>141</v>
      </c>
      <c r="L23" s="8"/>
      <c r="M23" s="8"/>
    </row>
    <row r="24" s="1" customFormat="1" ht="115" customHeight="1" spans="1:13">
      <c r="A24" s="8">
        <v>20</v>
      </c>
      <c r="B24" s="8" t="s">
        <v>65</v>
      </c>
      <c r="C24" s="8" t="s">
        <v>99</v>
      </c>
      <c r="D24" s="8" t="s">
        <v>99</v>
      </c>
      <c r="E24" s="8" t="s">
        <v>142</v>
      </c>
      <c r="F24" s="8" t="s">
        <v>74</v>
      </c>
      <c r="G24" s="9" t="s">
        <v>143</v>
      </c>
      <c r="H24" s="8">
        <v>1</v>
      </c>
      <c r="I24" s="10">
        <v>175</v>
      </c>
      <c r="J24" s="10">
        <v>121.66</v>
      </c>
      <c r="K24" s="9" t="s">
        <v>144</v>
      </c>
      <c r="L24" s="8"/>
      <c r="M24" s="8"/>
    </row>
    <row r="25" s="1" customFormat="1" ht="234" customHeight="1" spans="1:13">
      <c r="A25" s="8">
        <v>21</v>
      </c>
      <c r="B25" s="8" t="s">
        <v>65</v>
      </c>
      <c r="C25" s="8" t="s">
        <v>145</v>
      </c>
      <c r="D25" s="8" t="s">
        <v>145</v>
      </c>
      <c r="E25" s="8" t="s">
        <v>146</v>
      </c>
      <c r="F25" s="8" t="s">
        <v>124</v>
      </c>
      <c r="G25" s="9" t="s">
        <v>147</v>
      </c>
      <c r="H25" s="8">
        <v>2112</v>
      </c>
      <c r="I25" s="10">
        <v>38358.06</v>
      </c>
      <c r="J25" s="10">
        <v>26666.52</v>
      </c>
      <c r="K25" s="9" t="s">
        <v>148</v>
      </c>
      <c r="L25" s="8"/>
      <c r="M25" s="8"/>
    </row>
    <row r="26" s="1" customFormat="1" ht="253" customHeight="1" spans="1:13">
      <c r="A26" s="8">
        <v>22</v>
      </c>
      <c r="B26" s="8" t="s">
        <v>149</v>
      </c>
      <c r="C26" s="8" t="s">
        <v>150</v>
      </c>
      <c r="D26" s="8" t="s">
        <v>151</v>
      </c>
      <c r="E26" s="8" t="s">
        <v>152</v>
      </c>
      <c r="F26" s="8" t="s">
        <v>153</v>
      </c>
      <c r="G26" s="9" t="s">
        <v>154</v>
      </c>
      <c r="H26" s="8">
        <v>269.7</v>
      </c>
      <c r="I26" s="10">
        <v>12136.5</v>
      </c>
      <c r="J26" s="10">
        <v>8437.29</v>
      </c>
      <c r="K26" s="9" t="s">
        <v>155</v>
      </c>
      <c r="L26" s="8"/>
      <c r="M26" s="8"/>
    </row>
    <row r="27" ht="219" customHeight="1" spans="1:13">
      <c r="A27" s="8">
        <v>23</v>
      </c>
      <c r="B27" s="8" t="s">
        <v>149</v>
      </c>
      <c r="C27" s="8" t="s">
        <v>150</v>
      </c>
      <c r="D27" s="8" t="s">
        <v>151</v>
      </c>
      <c r="E27" s="8" t="s">
        <v>156</v>
      </c>
      <c r="F27" s="8" t="s">
        <v>157</v>
      </c>
      <c r="G27" s="9" t="s">
        <v>158</v>
      </c>
      <c r="H27" s="8">
        <v>108</v>
      </c>
      <c r="I27" s="10">
        <v>1404</v>
      </c>
      <c r="J27" s="10">
        <v>976.06</v>
      </c>
      <c r="K27" s="9" t="s">
        <v>159</v>
      </c>
      <c r="L27" s="8"/>
      <c r="M27" s="8"/>
    </row>
    <row r="28" s="1" customFormat="1" ht="216" customHeight="1" spans="1:13">
      <c r="A28" s="8">
        <v>24</v>
      </c>
      <c r="B28" s="8" t="s">
        <v>149</v>
      </c>
      <c r="C28" s="8" t="s">
        <v>150</v>
      </c>
      <c r="D28" s="8" t="s">
        <v>151</v>
      </c>
      <c r="E28" s="8" t="s">
        <v>160</v>
      </c>
      <c r="F28" s="8" t="s">
        <v>74</v>
      </c>
      <c r="G28" s="9" t="s">
        <v>161</v>
      </c>
      <c r="H28" s="8">
        <v>0</v>
      </c>
      <c r="I28" s="10">
        <v>0</v>
      </c>
      <c r="J28" s="10">
        <v>0</v>
      </c>
      <c r="K28" s="9" t="s">
        <v>162</v>
      </c>
      <c r="L28" s="8"/>
      <c r="M28" s="8"/>
    </row>
    <row r="29" s="1" customFormat="1" ht="197" customHeight="1" spans="1:13">
      <c r="A29" s="8">
        <v>25</v>
      </c>
      <c r="B29" s="8" t="s">
        <v>149</v>
      </c>
      <c r="C29" s="8" t="s">
        <v>150</v>
      </c>
      <c r="D29" s="8" t="s">
        <v>151</v>
      </c>
      <c r="E29" s="8" t="s">
        <v>163</v>
      </c>
      <c r="F29" s="8" t="s">
        <v>68</v>
      </c>
      <c r="G29" s="9" t="s">
        <v>164</v>
      </c>
      <c r="H29" s="8">
        <v>0</v>
      </c>
      <c r="I29" s="8">
        <v>0</v>
      </c>
      <c r="J29" s="8">
        <v>0</v>
      </c>
      <c r="K29" s="9" t="s">
        <v>165</v>
      </c>
      <c r="L29" s="8"/>
      <c r="M29" s="8"/>
    </row>
    <row r="30" s="1" customFormat="1" ht="217" customHeight="1" spans="1:13">
      <c r="A30" s="8">
        <v>26</v>
      </c>
      <c r="B30" s="8" t="s">
        <v>149</v>
      </c>
      <c r="C30" s="8" t="s">
        <v>166</v>
      </c>
      <c r="D30" s="8" t="s">
        <v>60</v>
      </c>
      <c r="E30" s="8" t="s">
        <v>167</v>
      </c>
      <c r="F30" s="8" t="s">
        <v>168</v>
      </c>
      <c r="G30" s="9" t="s">
        <v>169</v>
      </c>
      <c r="H30" s="8">
        <v>291.33</v>
      </c>
      <c r="I30" s="10">
        <v>224613.48</v>
      </c>
      <c r="J30" s="10">
        <v>156151.29</v>
      </c>
      <c r="K30" s="9" t="s">
        <v>170</v>
      </c>
      <c r="L30" s="8"/>
      <c r="M30" s="8" t="s">
        <v>171</v>
      </c>
    </row>
    <row r="31" s="1" customFormat="1" ht="137" customHeight="1" spans="1:13">
      <c r="A31" s="8">
        <v>27</v>
      </c>
      <c r="B31" s="8" t="s">
        <v>149</v>
      </c>
      <c r="C31" s="8" t="s">
        <v>166</v>
      </c>
      <c r="D31" s="8" t="s">
        <v>166</v>
      </c>
      <c r="E31" s="8" t="s">
        <v>172</v>
      </c>
      <c r="F31" s="8" t="s">
        <v>168</v>
      </c>
      <c r="G31" s="9" t="s">
        <v>173</v>
      </c>
      <c r="H31" s="8">
        <v>2</v>
      </c>
      <c r="I31" s="10">
        <v>2640</v>
      </c>
      <c r="J31" s="10">
        <v>1835.33</v>
      </c>
      <c r="K31" s="9" t="s">
        <v>170</v>
      </c>
      <c r="L31" s="8"/>
      <c r="M31" s="8"/>
    </row>
    <row r="32" s="1" customFormat="1" ht="140" customHeight="1" spans="1:13">
      <c r="A32" s="8">
        <v>28</v>
      </c>
      <c r="B32" s="8" t="s">
        <v>149</v>
      </c>
      <c r="C32" s="8" t="s">
        <v>166</v>
      </c>
      <c r="D32" s="8" t="s">
        <v>166</v>
      </c>
      <c r="E32" s="8" t="s">
        <v>174</v>
      </c>
      <c r="F32" s="8" t="s">
        <v>168</v>
      </c>
      <c r="G32" s="9" t="s">
        <v>175</v>
      </c>
      <c r="H32" s="8">
        <v>0</v>
      </c>
      <c r="I32" s="10">
        <v>0</v>
      </c>
      <c r="J32" s="8">
        <v>0</v>
      </c>
      <c r="K32" s="9" t="s">
        <v>170</v>
      </c>
      <c r="L32" s="8"/>
      <c r="M32" s="8"/>
    </row>
    <row r="33" s="1" customFormat="1" ht="120" customHeight="1" spans="1:13">
      <c r="A33" s="8">
        <v>29</v>
      </c>
      <c r="B33" s="8" t="s">
        <v>149</v>
      </c>
      <c r="C33" s="8" t="s">
        <v>166</v>
      </c>
      <c r="D33" s="8" t="s">
        <v>166</v>
      </c>
      <c r="E33" s="8" t="s">
        <v>176</v>
      </c>
      <c r="F33" s="8" t="s">
        <v>168</v>
      </c>
      <c r="G33" s="9" t="s">
        <v>177</v>
      </c>
      <c r="H33" s="8">
        <v>0</v>
      </c>
      <c r="I33" s="10">
        <v>0</v>
      </c>
      <c r="J33" s="8">
        <v>0</v>
      </c>
      <c r="K33" s="9" t="s">
        <v>170</v>
      </c>
      <c r="L33" s="8"/>
      <c r="M33" s="8"/>
    </row>
    <row r="34" s="1" customFormat="1" ht="43" customHeight="1" spans="1:13">
      <c r="A34" s="13" t="s">
        <v>37</v>
      </c>
      <c r="B34" s="14"/>
      <c r="C34" s="14"/>
      <c r="D34" s="14"/>
      <c r="E34" s="14"/>
      <c r="F34" s="14"/>
      <c r="G34" s="14"/>
      <c r="H34" s="15"/>
      <c r="I34" s="10">
        <f>SUM(I5:I31)</f>
        <v>508422.42</v>
      </c>
      <c r="J34" s="10">
        <f>SUM(J5:J33)</f>
        <v>353455.28</v>
      </c>
      <c r="K34" s="9"/>
      <c r="L34" s="16"/>
      <c r="M34" s="16"/>
    </row>
    <row r="35" ht="59" customHeight="1" spans="1:13">
      <c r="A35" s="17" t="s">
        <v>178</v>
      </c>
      <c r="B35" s="17"/>
      <c r="C35" s="17"/>
      <c r="D35" s="17"/>
      <c r="E35" s="17"/>
      <c r="F35" s="17"/>
      <c r="G35" s="17"/>
      <c r="H35" s="17"/>
      <c r="I35" s="17"/>
      <c r="J35" s="17"/>
      <c r="K35" s="17"/>
      <c r="L35" s="17"/>
      <c r="M35" s="17"/>
    </row>
    <row r="36" s="2" customFormat="1" ht="198" customHeight="1" spans="1:13">
      <c r="A36" s="18"/>
      <c r="B36" s="18"/>
      <c r="C36" s="18"/>
      <c r="D36" s="18"/>
      <c r="E36" s="18"/>
      <c r="F36" s="18"/>
      <c r="G36" s="18"/>
      <c r="H36" s="18"/>
      <c r="I36" s="18"/>
      <c r="J36" s="19"/>
      <c r="K36" s="18"/>
      <c r="L36" s="18"/>
      <c r="M36" s="18"/>
    </row>
    <row r="37" s="3" customFormat="1" ht="16.8" spans="1:13">
      <c r="A37" s="20" t="s">
        <v>179</v>
      </c>
      <c r="B37" s="20"/>
      <c r="C37" s="20"/>
      <c r="D37" s="20"/>
      <c r="E37" s="20"/>
      <c r="F37" s="20"/>
      <c r="G37" s="20"/>
      <c r="H37" s="20"/>
      <c r="I37" s="20"/>
      <c r="J37" s="20"/>
      <c r="K37" s="20"/>
      <c r="L37" s="20"/>
      <c r="M37" s="20"/>
    </row>
  </sheetData>
  <autoFilter xmlns:etc="http://www.wps.cn/officeDocument/2017/etCustomData" ref="A4:M37" etc:filterBottomFollowUsedRange="0">
    <extLst/>
  </autoFilter>
  <sortState ref="A4:Q37">
    <sortCondition ref="C5" descending="1"/>
  </sortState>
  <mergeCells count="6">
    <mergeCell ref="A1:M1"/>
    <mergeCell ref="A2:M2"/>
    <mergeCell ref="A3:M3"/>
    <mergeCell ref="A34:H34"/>
    <mergeCell ref="A35:M35"/>
    <mergeCell ref="A37:M37"/>
  </mergeCells>
  <pageMargins left="0.700694444444445" right="0.700694444444445" top="0.751388888888889" bottom="0.751388888888889" header="0.298611111111111" footer="0.298611111111111"/>
  <pageSetup paperSize="9" scale="60" fitToHeight="0" orientation="landscape" horizontalDpi="600"/>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1.“定点医疗机构”问题处置表</vt:lpstr>
      <vt:lpstr>11.17 (打印)</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不懂</cp:lastModifiedBy>
  <dcterms:created xsi:type="dcterms:W3CDTF">2023-05-13T03:15:00Z</dcterms:created>
  <dcterms:modified xsi:type="dcterms:W3CDTF">2025-11-19T01:17:48Z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2052-12.1.0.23542</vt:lpwstr>
  </property>
  <property fmtid="{D5CDD505-2E9C-101B-9397-08002B2CF9AE}" pid="3" name="ICV">
    <vt:lpwstr>F22AEC74074E4874BAA21DDA0C320A9E_13</vt:lpwstr>
  </property>
  <property fmtid="{D5CDD505-2E9C-101B-9397-08002B2CF9AE}" pid="4" name="KSOReadingLayout">
    <vt:bool>true</vt:bool>
  </property>
</Properties>
</file>